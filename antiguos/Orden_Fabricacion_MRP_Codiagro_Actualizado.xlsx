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Fabricación" sheetId="1" state="visible" r:id="rId1"/>
    <sheet xmlns:r="http://schemas.openxmlformats.org/officeDocument/2006/relationships" name="Plan Graneles por Mes" sheetId="2" state="visible" r:id="rId2"/>
    <sheet xmlns:r="http://schemas.openxmlformats.org/officeDocument/2006/relationships" name="Resumen por Envase" sheetId="3" state="visible" r:id="rId3"/>
    <sheet xmlns:r="http://schemas.openxmlformats.org/officeDocument/2006/relationships" name="SlowMovers &amp; NoMovers" sheetId="4" state="visible" r:id="rId4"/>
  </sheets>
  <definedNames>
    <definedName name="_xlnm._FilterDatabase" localSheetId="0" hidden="1">'Orden de Fabricación'!$A$8:$Q$299</definedName>
    <definedName name="_xlnm._FilterDatabase" localSheetId="1" hidden="1">'Plan Graneles por Mes'!$A$5:$M$87</definedName>
    <definedName name="_xlnm._FilterDatabase" localSheetId="3" hidden="1">'SlowMovers &amp; NoMovers'!$A$8:$P$139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64748B"/>
      <sz val="8"/>
    </font>
    <font>
      <name val="Calibri"/>
      <b val="1"/>
      <color rgb="00DC2626"/>
      <sz val="12"/>
    </font>
    <font>
      <name val="Calibri"/>
      <b val="1"/>
      <color rgb="00D97706"/>
      <sz val="12"/>
    </font>
    <font>
      <name val="Calibri"/>
      <b val="1"/>
      <color rgb="000F172A"/>
      <sz val="12"/>
    </font>
    <font>
      <name val="Calibri"/>
      <b val="1"/>
      <color rgb="00059669"/>
      <sz val="12"/>
    </font>
    <font>
      <name val="Calibri"/>
      <b val="1"/>
      <color rgb="00FFFFFF"/>
      <sz val="9.5"/>
    </font>
    <font>
      <name val="Calibri"/>
      <b val="1"/>
      <color rgb="00FFFFFF"/>
      <sz val="9"/>
    </font>
    <font>
      <name val="Calibri"/>
      <b val="1"/>
      <color rgb="000F172A"/>
      <sz val="9"/>
    </font>
    <font>
      <name val="Calibri"/>
      <color rgb="001E293B"/>
      <sz val="9"/>
    </font>
    <font>
      <name val="Calibri"/>
      <b val="1"/>
      <color rgb="00991B1B"/>
      <sz val="8.5"/>
    </font>
    <font>
      <name val="Calibri"/>
      <b val="1"/>
      <color rgb="006B21A8"/>
      <sz val="9"/>
    </font>
    <font>
      <name val="Calibri"/>
      <b val="1"/>
      <color rgb="000369A1"/>
      <sz val="8.5"/>
    </font>
    <font>
      <name val="Calibri"/>
      <b val="1"/>
      <color rgb="0092400E"/>
      <sz val="8.5"/>
    </font>
    <font>
      <name val="Calibri"/>
      <b val="1"/>
      <color rgb="00065F46"/>
      <sz val="8.5"/>
    </font>
    <font>
      <name val="Calibri"/>
      <b val="1"/>
      <color rgb="000F172A"/>
      <sz val="9.5"/>
    </font>
    <font>
      <name val="Calibri"/>
      <b val="1"/>
      <color rgb="000284C7"/>
      <sz val="12"/>
    </font>
    <font>
      <name val="Consolas"/>
      <b val="1"/>
      <color rgb="000F172A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065F46"/>
        <bgColor rgb="00065F46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7C2D12"/>
        <bgColor rgb="007C2D12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/>
    </xf>
    <xf numFmtId="0" fontId="9" fillId="4" borderId="2" applyAlignment="1" pivotButton="0" quotePrefix="0" xfId="0">
      <alignment horizontal="left"/>
    </xf>
    <xf numFmtId="0" fontId="9" fillId="4" borderId="2" applyAlignment="1" pivotButton="0" quotePrefix="0" xfId="0">
      <alignment horizontal="right"/>
    </xf>
    <xf numFmtId="0" fontId="9" fillId="5" borderId="2" applyAlignment="1" pivotButton="0" quotePrefix="0" xfId="0">
      <alignment horizontal="right"/>
    </xf>
    <xf numFmtId="0" fontId="9" fillId="6" borderId="2" applyAlignment="1" pivotButton="0" quotePrefix="0" xfId="0">
      <alignment horizontal="right"/>
    </xf>
    <xf numFmtId="0" fontId="9" fillId="6" borderId="2" applyAlignment="1" pivotButton="0" quotePrefix="0" xfId="0">
      <alignment horizontal="center"/>
    </xf>
    <xf numFmtId="0" fontId="10" fillId="8" borderId="2" applyAlignment="1" pivotButton="0" quotePrefix="0" xfId="0">
      <alignment horizontal="center"/>
    </xf>
    <xf numFmtId="0" fontId="11" fillId="8" borderId="2" applyAlignment="1" pivotButton="0" quotePrefix="0" xfId="0">
      <alignment horizontal="center"/>
    </xf>
    <xf numFmtId="0" fontId="11" fillId="8" borderId="2" applyAlignment="1" pivotButton="0" quotePrefix="0" xfId="0">
      <alignment horizontal="left"/>
    </xf>
    <xf numFmtId="2" fontId="11" fillId="8" borderId="2" applyAlignment="1" pivotButton="0" quotePrefix="0" xfId="0">
      <alignment horizontal="right"/>
    </xf>
    <xf numFmtId="3" fontId="11" fillId="8" borderId="2" applyAlignment="1" pivotButton="0" quotePrefix="0" xfId="0">
      <alignment horizontal="right"/>
    </xf>
    <xf numFmtId="3" fontId="10" fillId="8" borderId="2" applyAlignment="1" pivotButton="0" quotePrefix="0" xfId="0">
      <alignment horizontal="right"/>
    </xf>
    <xf numFmtId="0" fontId="12" fillId="7" borderId="2" applyAlignment="1" pivotButton="0" quotePrefix="0" xfId="0">
      <alignment horizontal="center"/>
    </xf>
    <xf numFmtId="0" fontId="10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11" fillId="3" borderId="2" applyAlignment="1" pivotButton="0" quotePrefix="0" xfId="0">
      <alignment horizontal="left"/>
    </xf>
    <xf numFmtId="2" fontId="11" fillId="3" borderId="2" applyAlignment="1" pivotButton="0" quotePrefix="0" xfId="0">
      <alignment horizontal="right"/>
    </xf>
    <xf numFmtId="0" fontId="11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3" fontId="11" fillId="3" borderId="2" applyAlignment="1" pivotButton="0" quotePrefix="0" xfId="0">
      <alignment horizontal="right"/>
    </xf>
    <xf numFmtId="3" fontId="10" fillId="3" borderId="2" applyAlignment="1" pivotButton="0" quotePrefix="0" xfId="0">
      <alignment horizontal="right"/>
    </xf>
    <xf numFmtId="0" fontId="13" fillId="8" borderId="2" applyAlignment="1" pivotButton="0" quotePrefix="0" xfId="0">
      <alignment horizontal="center"/>
    </xf>
    <xf numFmtId="0" fontId="14" fillId="8" borderId="2" applyAlignment="1" pivotButton="0" quotePrefix="0" xfId="0">
      <alignment horizontal="center"/>
    </xf>
    <xf numFmtId="0" fontId="15" fillId="9" borderId="2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7" fillId="11" borderId="3" applyAlignment="1" pivotButton="0" quotePrefix="0" xfId="0">
      <alignment horizontal="right" vertical="center"/>
    </xf>
    <xf numFmtId="0" fontId="0" fillId="11" borderId="3" pivotButton="0" quotePrefix="0" xfId="0"/>
    <xf numFmtId="3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center"/>
    </xf>
    <xf numFmtId="0" fontId="10" fillId="3" borderId="2" applyAlignment="1" pivotButton="0" quotePrefix="0" xfId="0">
      <alignment horizontal="left"/>
    </xf>
    <xf numFmtId="0" fontId="10" fillId="8" borderId="2" applyAlignment="1" pivotButton="0" quotePrefix="0" xfId="0">
      <alignment horizontal="left"/>
    </xf>
    <xf numFmtId="0" fontId="17" fillId="11" borderId="3" applyAlignment="1" pivotButton="0" quotePrefix="0" xfId="0">
      <alignment horizontal="left"/>
    </xf>
    <xf numFmtId="0" fontId="17" fillId="11" borderId="3" applyAlignment="1" pivotButton="0" quotePrefix="0" xfId="0">
      <alignment horizontal="center"/>
    </xf>
    <xf numFmtId="3" fontId="17" fillId="11" borderId="3" applyAlignment="1" pivotButton="0" quotePrefix="0" xfId="0">
      <alignment horizontal="right"/>
    </xf>
    <xf numFmtId="0" fontId="18" fillId="3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12" borderId="2" applyAlignment="1" pivotButton="0" quotePrefix="0" xfId="0">
      <alignment horizontal="right"/>
    </xf>
    <xf numFmtId="0" fontId="9" fillId="12" borderId="2" applyAlignment="1" pivotButton="0" quotePrefix="0" xfId="0">
      <alignment horizontal="center"/>
    </xf>
    <xf numFmtId="0" fontId="9" fillId="12" borderId="2" applyAlignment="1" pivotButton="0" quotePrefix="0" xfId="0">
      <alignment horizontal="left"/>
    </xf>
    <xf numFmtId="0" fontId="19" fillId="8" borderId="2" applyAlignment="1" pivotButton="0" quotePrefix="0" xfId="0">
      <alignment horizontal="center"/>
    </xf>
    <xf numFmtId="164" fontId="11" fillId="8" borderId="2" applyAlignment="1" pivotButton="0" quotePrefix="0" xfId="0">
      <alignment horizontal="right"/>
    </xf>
    <xf numFmtId="164" fontId="12" fillId="8" borderId="2" applyAlignment="1" pivotButton="0" quotePrefix="0" xfId="0">
      <alignment horizontal="right"/>
    </xf>
    <xf numFmtId="0" fontId="19" fillId="3" borderId="2" applyAlignment="1" pivotButton="0" quotePrefix="0" xfId="0">
      <alignment horizontal="center"/>
    </xf>
    <xf numFmtId="164" fontId="11" fillId="3" borderId="2" applyAlignment="1" pivotButton="0" quotePrefix="0" xfId="0">
      <alignment horizontal="right"/>
    </xf>
    <xf numFmtId="164" fontId="12" fillId="3" borderId="2" applyAlignment="1" pivotButton="0" quotePrefix="0" xfId="0">
      <alignment horizontal="right"/>
    </xf>
    <xf numFmtId="164" fontId="15" fillId="3" borderId="2" applyAlignment="1" pivotButton="0" quotePrefix="0" xfId="0">
      <alignment horizontal="right"/>
    </xf>
    <xf numFmtId="164" fontId="15" fillId="8" borderId="2" applyAlignment="1" pivotButton="0" quotePrefix="0" xfId="0">
      <alignment horizontal="right"/>
    </xf>
    <xf numFmtId="164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8" customWidth="1" min="2" max="2"/>
    <col width="36" customWidth="1" min="3" max="3"/>
    <col width="10" customWidth="1" min="4" max="4"/>
    <col width="18" customWidth="1" min="5" max="5"/>
    <col width="18" customWidth="1" min="6" max="6"/>
    <col width="22" customWidth="1" min="7" max="7"/>
    <col width="17" customWidth="1" min="8" max="8"/>
    <col width="17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17" customWidth="1" min="15" max="15"/>
    <col width="20" customWidth="1" min="16" max="16"/>
    <col width="22" customWidth="1" min="17" max="17"/>
  </cols>
  <sheetData>
    <row r="1" ht="28" customHeight="1">
      <c r="A1" s="1" t="inlineStr">
        <is>
          <t xml:space="preserve">  CODIAGRO S.L.  |  ORDEN DE FABRICACIÓN Y ENVASADO MRP (DESGLOSE POR PAÍS Y FORMATO)</t>
        </is>
      </c>
    </row>
    <row r="2" ht="18" customHeight="1">
      <c r="A2" s="2" t="inlineStr">
        <is>
          <t xml:space="preserve">  Horizonte: Oct 26 (N) + Nov 26 + Dic 26 (3 meses)  |  Ámbito: Global (Nacional + Exportación)  |  Exportación: Siempre Sobre Pedido  |  Fecha Emisión: 06/10/2026 15:12</t>
        </is>
      </c>
    </row>
    <row r="3" ht="8" customHeight="1"/>
    <row r="4" ht="16" customHeight="1">
      <c r="A4" s="3" t="inlineStr">
        <is>
          <t>TOTAL A FABRICAR (L/Kg)</t>
        </is>
      </c>
      <c r="B4" s="4" t="n"/>
      <c r="C4" s="3" t="inlineStr">
        <is>
          <t>TOTAL UNIDADES (u)</t>
        </is>
      </c>
      <c r="D4" s="4" t="n"/>
      <c r="E4" s="3" t="inlineStr">
        <is>
          <t>DÉFICIT QUÍMICO URGENTE</t>
        </is>
      </c>
      <c r="F4" s="4" t="n"/>
      <c r="G4" s="3" t="inlineStr">
        <is>
          <t>SOLO ENVASAR / SOBRE PEDIDO</t>
        </is>
      </c>
      <c r="H4" s="4" t="n"/>
      <c r="I4" s="3" t="inlineStr">
        <is>
          <t>PEDIDOS CARTERA INMEDIATOS</t>
        </is>
      </c>
      <c r="J4" s="4" t="n"/>
      <c r="K4" s="4" t="n"/>
      <c r="L4" s="4" t="n"/>
      <c r="M4" s="3" t="inlineStr">
        <is>
          <t>STOCK ENVASADO ALMACÉN</t>
        </is>
      </c>
      <c r="N4" s="4" t="n"/>
      <c r="O4" s="4" t="n"/>
      <c r="P4" s="4" t="n"/>
      <c r="Q4" s="4" t="n"/>
    </row>
    <row r="5" ht="24" customHeight="1">
      <c r="A5" s="5" t="inlineStr">
        <is>
          <t>159.931.588 L</t>
        </is>
      </c>
      <c r="B5" s="4" t="n"/>
      <c r="C5" s="5" t="inlineStr">
        <is>
          <t>1.118.760 u</t>
        </is>
      </c>
      <c r="D5" s="4" t="n"/>
      <c r="E5" s="5" t="inlineStr">
        <is>
          <t>165 Artículos</t>
        </is>
      </c>
      <c r="F5" s="4" t="n"/>
      <c r="G5" s="6" t="inlineStr">
        <is>
          <t>43 Artículos</t>
        </is>
      </c>
      <c r="H5" s="4" t="n"/>
      <c r="I5" s="7" t="inlineStr">
        <is>
          <t>36.769 u</t>
        </is>
      </c>
      <c r="J5" s="4" t="n"/>
      <c r="K5" s="4" t="n"/>
      <c r="L5" s="4" t="n"/>
      <c r="M5" s="8" t="inlineStr">
        <is>
          <t>261.783 u</t>
        </is>
      </c>
      <c r="N5" s="4" t="n"/>
      <c r="O5" s="4" t="n"/>
      <c r="P5" s="4" t="n"/>
      <c r="Q5" s="4" t="n"/>
    </row>
    <row r="6" ht="10" customHeight="1"/>
    <row r="7" ht="20" customHeight="1">
      <c r="A7" s="9" t="inlineStr">
        <is>
          <t>1. IDENTIFICACIÓN Y ESPECIFICACIÓN ARTÍCULO / DESTINO</t>
        </is>
      </c>
      <c r="H7" s="10" t="inlineStr">
        <is>
          <t>2. DISPONIBILIDAD Y DEMANDA HORIZONTE (UNIDADES FÍSICAS)</t>
        </is>
      </c>
      <c r="N7" s="11" t="inlineStr">
        <is>
          <t>3. PLANIFICACIÓN DE PRODUCCIÓN Y ENVASADO</t>
        </is>
      </c>
    </row>
    <row r="8" ht="24" customHeight="1">
      <c r="A8" s="12" t="inlineStr">
        <is>
          <t>Cód. Base</t>
        </is>
      </c>
      <c r="B8" s="12" t="inlineStr">
        <is>
          <t>Nuevo SKU (País)</t>
        </is>
      </c>
      <c r="C8" s="13" t="inlineStr">
        <is>
          <t>Producto / Descripción</t>
        </is>
      </c>
      <c r="D8" s="14" t="inlineStr">
        <is>
          <t>Env. (L)</t>
        </is>
      </c>
      <c r="E8" s="13" t="inlineStr">
        <is>
          <t>Línea Envasado</t>
        </is>
      </c>
      <c r="F8" s="12" t="inlineStr">
        <is>
          <t>País / Mercado</t>
        </is>
      </c>
      <c r="G8" s="12" t="inlineStr">
        <is>
          <t>Tipo Fabricación</t>
        </is>
      </c>
      <c r="H8" s="15" t="inlineStr">
        <is>
          <t>Stock Asignado (u)</t>
        </is>
      </c>
      <c r="I8" s="15" t="inlineStr">
        <is>
          <t>Cartera Inmediata (u)</t>
        </is>
      </c>
      <c r="J8" s="15" t="inlineStr">
        <is>
          <t>Oct-26 (u)</t>
        </is>
      </c>
      <c r="K8" s="15" t="inlineStr">
        <is>
          <t>Nov-26 (u)</t>
        </is>
      </c>
      <c r="L8" s="15" t="inlineStr">
        <is>
          <t>Dic-26 (u)</t>
        </is>
      </c>
      <c r="M8" s="15" t="inlineStr">
        <is>
          <t>Demanda Total (u)</t>
        </is>
      </c>
      <c r="N8" s="16" t="inlineStr">
        <is>
          <t>Demanda Total (L/Kg)</t>
        </is>
      </c>
      <c r="O8" s="16" t="inlineStr">
        <is>
          <t>A Fabricar (u)</t>
        </is>
      </c>
      <c r="P8" s="16" t="inlineStr">
        <is>
          <t>A Fabricar (L/Kg)</t>
        </is>
      </c>
      <c r="Q8" s="17" t="inlineStr">
        <is>
          <t>Prioridad / Acción</t>
        </is>
      </c>
    </row>
    <row r="9" ht="19" customHeight="1">
      <c r="A9" s="18" t="inlineStr">
        <is>
          <t>S1000</t>
        </is>
      </c>
      <c r="B9" s="19" t="inlineStr">
        <is>
          <t>S1000</t>
        </is>
      </c>
      <c r="C9" s="20" t="inlineStr">
        <is>
          <t>SAL-WAX STAR, 1000 L</t>
        </is>
      </c>
      <c r="D9" s="21" t="n">
        <v>1000</v>
      </c>
      <c r="E9" s="20" t="inlineStr">
        <is>
          <t>Depósito 1000 L</t>
        </is>
      </c>
      <c r="F9" s="19" t="inlineStr">
        <is>
          <t>ESPAÑA</t>
        </is>
      </c>
      <c r="G9" s="19" t="inlineStr">
        <is>
          <t>Para Previsión (Nac)</t>
        </is>
      </c>
      <c r="H9" s="22" t="n">
        <v>6000</v>
      </c>
      <c r="I9" s="22" t="n">
        <v>0</v>
      </c>
      <c r="J9" s="22" t="n">
        <v>19000</v>
      </c>
      <c r="K9" s="22" t="n">
        <v>20000</v>
      </c>
      <c r="L9" s="22" t="n">
        <v>0</v>
      </c>
      <c r="M9" s="23" t="n">
        <v>39000</v>
      </c>
      <c r="N9" s="23" t="n">
        <v>39000000</v>
      </c>
      <c r="O9" s="23" t="n">
        <v>33000</v>
      </c>
      <c r="P9" s="23" t="n">
        <v>33000000</v>
      </c>
      <c r="Q9" s="24" t="inlineStr">
        <is>
          <t>FABRICACIÓN URGENTE</t>
        </is>
      </c>
    </row>
    <row r="10" ht="19" customHeight="1">
      <c r="A10" s="25" t="inlineStr">
        <is>
          <t>AN1000</t>
        </is>
      </c>
      <c r="B10" s="26" t="inlineStr">
        <is>
          <t>AN1000EG</t>
        </is>
      </c>
      <c r="C10" s="27" t="inlineStr">
        <is>
          <t>ALCAPLANT-NEW</t>
        </is>
      </c>
      <c r="D10" s="28" t="n">
        <v>1000</v>
      </c>
      <c r="E10" s="27" t="inlineStr">
        <is>
          <t>Depósito 1000 L</t>
        </is>
      </c>
      <c r="F10" s="29" t="inlineStr">
        <is>
          <t>EGIPTO</t>
        </is>
      </c>
      <c r="G10" s="30" t="inlineStr">
        <is>
          <t>Sobre Pedido (Export)</t>
        </is>
      </c>
      <c r="H10" s="31" t="n">
        <v>0</v>
      </c>
      <c r="I10" s="31" t="n">
        <v>0</v>
      </c>
      <c r="J10" s="31" t="n">
        <v>0</v>
      </c>
      <c r="K10" s="31" t="n">
        <v>20000</v>
      </c>
      <c r="L10" s="31" t="n">
        <v>0</v>
      </c>
      <c r="M10" s="32" t="n">
        <v>20000</v>
      </c>
      <c r="N10" s="32" t="n">
        <v>20000000</v>
      </c>
      <c r="O10" s="32" t="n">
        <v>20000</v>
      </c>
      <c r="P10" s="32" t="n">
        <v>20000000</v>
      </c>
      <c r="Q10" s="24" t="inlineStr">
        <is>
          <t>SOBRE PEDIDO (EXP)</t>
        </is>
      </c>
    </row>
    <row r="11" ht="19" customHeight="1">
      <c r="A11" s="18" t="inlineStr">
        <is>
          <t>AGXK1000</t>
        </is>
      </c>
      <c r="B11" s="19" t="inlineStr">
        <is>
          <t>AGXK1000</t>
        </is>
      </c>
      <c r="C11" s="20" t="inlineStr">
        <is>
          <t>AGROXILATO-K, 1000 L</t>
        </is>
      </c>
      <c r="D11" s="21" t="n">
        <v>1000</v>
      </c>
      <c r="E11" s="20" t="inlineStr">
        <is>
          <t>Depósito 1000 L</t>
        </is>
      </c>
      <c r="F11" s="19" t="inlineStr">
        <is>
          <t>ESPAÑA</t>
        </is>
      </c>
      <c r="G11" s="19" t="inlineStr">
        <is>
          <t>Para Previsión (Nac)</t>
        </is>
      </c>
      <c r="H11" s="22" t="n">
        <v>0</v>
      </c>
      <c r="I11" s="22" t="n">
        <v>0</v>
      </c>
      <c r="J11" s="22" t="n">
        <v>4000</v>
      </c>
      <c r="K11" s="22" t="n">
        <v>8000</v>
      </c>
      <c r="L11" s="22" t="n">
        <v>5000</v>
      </c>
      <c r="M11" s="23" t="n">
        <v>17000</v>
      </c>
      <c r="N11" s="23" t="n">
        <v>17000000</v>
      </c>
      <c r="O11" s="23" t="n">
        <v>17000</v>
      </c>
      <c r="P11" s="23" t="n">
        <v>17000000</v>
      </c>
      <c r="Q11" s="24" t="inlineStr">
        <is>
          <t>FABRICACIÓN URGENTE</t>
        </is>
      </c>
    </row>
    <row r="12" ht="19" customHeight="1">
      <c r="A12" s="25" t="inlineStr">
        <is>
          <t>AGXCR1000</t>
        </is>
      </c>
      <c r="B12" s="26" t="inlineStr">
        <is>
          <t>AGXCR1000CR</t>
        </is>
      </c>
      <c r="C12" s="27" t="inlineStr">
        <is>
          <t>AGROXILATO-K</t>
        </is>
      </c>
      <c r="D12" s="28" t="n">
        <v>1000</v>
      </c>
      <c r="E12" s="27" t="inlineStr">
        <is>
          <t>Depósito 1000 L</t>
        </is>
      </c>
      <c r="F12" s="29" t="inlineStr">
        <is>
          <t>COSTA RICA</t>
        </is>
      </c>
      <c r="G12" s="30" t="inlineStr">
        <is>
          <t>Sobre Pedido (Export)</t>
        </is>
      </c>
      <c r="H12" s="31" t="n">
        <v>0</v>
      </c>
      <c r="I12" s="31" t="n">
        <v>0</v>
      </c>
      <c r="J12" s="31" t="n">
        <v>4000</v>
      </c>
      <c r="K12" s="31" t="n">
        <v>4000</v>
      </c>
      <c r="L12" s="31" t="n">
        <v>4000</v>
      </c>
      <c r="M12" s="32" t="n">
        <v>12000</v>
      </c>
      <c r="N12" s="32" t="n">
        <v>12000000</v>
      </c>
      <c r="O12" s="32" t="n">
        <v>12000</v>
      </c>
      <c r="P12" s="32" t="n">
        <v>12000000</v>
      </c>
      <c r="Q12" s="24" t="inlineStr">
        <is>
          <t>SOBRE PEDIDO (EXP)</t>
        </is>
      </c>
    </row>
    <row r="13" ht="19" customHeight="1">
      <c r="A13" s="18" t="inlineStr">
        <is>
          <t>BIO1000</t>
        </is>
      </c>
      <c r="B13" s="33" t="inlineStr">
        <is>
          <t>BIO1000TR</t>
        </is>
      </c>
      <c r="C13" s="20" t="inlineStr">
        <is>
          <t>BIORAD-20, 1000 L</t>
        </is>
      </c>
      <c r="D13" s="21" t="n">
        <v>1000</v>
      </c>
      <c r="E13" s="20" t="inlineStr">
        <is>
          <t>Depósito 1000 L</t>
        </is>
      </c>
      <c r="F13" s="19" t="inlineStr">
        <is>
          <t>TURQUÍA</t>
        </is>
      </c>
      <c r="G13" s="34" t="inlineStr">
        <is>
          <t>Sobre Pedido (Export)</t>
        </is>
      </c>
      <c r="H13" s="22" t="n">
        <v>0</v>
      </c>
      <c r="I13" s="22" t="n">
        <v>11000</v>
      </c>
      <c r="J13" s="22" t="n">
        <v>0</v>
      </c>
      <c r="K13" s="22" t="n">
        <v>0</v>
      </c>
      <c r="L13" s="22" t="n">
        <v>0</v>
      </c>
      <c r="M13" s="23" t="n">
        <v>11000</v>
      </c>
      <c r="N13" s="23" t="n">
        <v>11000000</v>
      </c>
      <c r="O13" s="23" t="n">
        <v>11000</v>
      </c>
      <c r="P13" s="23" t="n">
        <v>11000000</v>
      </c>
      <c r="Q13" s="24" t="inlineStr">
        <is>
          <t>SOBRE PEDIDO (EXP)</t>
        </is>
      </c>
    </row>
    <row r="14" ht="19" customHeight="1">
      <c r="A14" s="25" t="inlineStr">
        <is>
          <t>BIO1000</t>
        </is>
      </c>
      <c r="B14" s="29" t="inlineStr">
        <is>
          <t>BIO1000</t>
        </is>
      </c>
      <c r="C14" s="27" t="inlineStr">
        <is>
          <t>BIORAD-20, 1000 L</t>
        </is>
      </c>
      <c r="D14" s="28" t="n">
        <v>1000</v>
      </c>
      <c r="E14" s="27" t="inlineStr">
        <is>
          <t>Depósito 1000 L</t>
        </is>
      </c>
      <c r="F14" s="29" t="inlineStr">
        <is>
          <t>ESPAÑA</t>
        </is>
      </c>
      <c r="G14" s="29" t="inlineStr">
        <is>
          <t>Para Previsión (Nac)</t>
        </is>
      </c>
      <c r="H14" s="31" t="n">
        <v>3000</v>
      </c>
      <c r="I14" s="31" t="n">
        <v>0</v>
      </c>
      <c r="J14" s="31" t="n">
        <v>3000</v>
      </c>
      <c r="K14" s="31" t="n">
        <v>6000</v>
      </c>
      <c r="L14" s="31" t="n">
        <v>0</v>
      </c>
      <c r="M14" s="32" t="n">
        <v>9000</v>
      </c>
      <c r="N14" s="32" t="n">
        <v>9000000</v>
      </c>
      <c r="O14" s="32" t="n">
        <v>6000</v>
      </c>
      <c r="P14" s="32" t="n">
        <v>6000000</v>
      </c>
      <c r="Q14" s="24" t="inlineStr">
        <is>
          <t>FABRICACIÓN URGENTE</t>
        </is>
      </c>
    </row>
    <row r="15" ht="19" customHeight="1">
      <c r="A15" s="18" t="inlineStr">
        <is>
          <t>B1000CRCO</t>
        </is>
      </c>
      <c r="B15" s="19" t="inlineStr">
        <is>
          <t>B1000CRCO</t>
        </is>
      </c>
      <c r="C15" s="20" t="inlineStr">
        <is>
          <t>BOROCAL, 1000 L</t>
        </is>
      </c>
      <c r="D15" s="21" t="n">
        <v>1000</v>
      </c>
      <c r="E15" s="20" t="inlineStr">
        <is>
          <t>Depósito 1000 L</t>
        </is>
      </c>
      <c r="F15" s="19" t="inlineStr">
        <is>
          <t>COSTA RICA</t>
        </is>
      </c>
      <c r="G15" s="34" t="inlineStr">
        <is>
          <t>Sobre Pedido (Export)</t>
        </is>
      </c>
      <c r="H15" s="22" t="n">
        <v>0</v>
      </c>
      <c r="I15" s="22" t="n">
        <v>0</v>
      </c>
      <c r="J15" s="22" t="n">
        <v>3000</v>
      </c>
      <c r="K15" s="22" t="n">
        <v>0</v>
      </c>
      <c r="L15" s="22" t="n">
        <v>3000</v>
      </c>
      <c r="M15" s="23" t="n">
        <v>6000</v>
      </c>
      <c r="N15" s="23" t="n">
        <v>6000000</v>
      </c>
      <c r="O15" s="23" t="n">
        <v>6000</v>
      </c>
      <c r="P15" s="23" t="n">
        <v>6000000</v>
      </c>
      <c r="Q15" s="24" t="inlineStr">
        <is>
          <t>SOBRE PEDIDO (EXP)</t>
        </is>
      </c>
    </row>
    <row r="16" ht="19" customHeight="1">
      <c r="A16" s="25" t="inlineStr">
        <is>
          <t>FLORCR1000</t>
        </is>
      </c>
      <c r="B16" s="26" t="inlineStr">
        <is>
          <t>FLORCR1000CR</t>
        </is>
      </c>
      <c r="C16" s="27" t="inlineStr">
        <is>
          <t>FLORAMEC</t>
        </is>
      </c>
      <c r="D16" s="28" t="n">
        <v>1000</v>
      </c>
      <c r="E16" s="27" t="inlineStr">
        <is>
          <t>Depósito 1000 L</t>
        </is>
      </c>
      <c r="F16" s="29" t="inlineStr">
        <is>
          <t>COSTA RICA</t>
        </is>
      </c>
      <c r="G16" s="30" t="inlineStr">
        <is>
          <t>Sobre Pedido (Export)</t>
        </is>
      </c>
      <c r="H16" s="31" t="n">
        <v>0</v>
      </c>
      <c r="I16" s="31" t="n">
        <v>0</v>
      </c>
      <c r="J16" s="31" t="n">
        <v>3000</v>
      </c>
      <c r="K16" s="31" t="n">
        <v>3000</v>
      </c>
      <c r="L16" s="31" t="n">
        <v>0</v>
      </c>
      <c r="M16" s="32" t="n">
        <v>6000</v>
      </c>
      <c r="N16" s="32" t="n">
        <v>6000000</v>
      </c>
      <c r="O16" s="32" t="n">
        <v>6000</v>
      </c>
      <c r="P16" s="32" t="n">
        <v>6000000</v>
      </c>
      <c r="Q16" s="24" t="inlineStr">
        <is>
          <t>SOBRE PEDIDO (EXP)</t>
        </is>
      </c>
    </row>
    <row r="17" ht="19" customHeight="1">
      <c r="A17" s="18" t="inlineStr">
        <is>
          <t>PT1000</t>
        </is>
      </c>
      <c r="B17" s="33" t="inlineStr">
        <is>
          <t>PT1000CR</t>
        </is>
      </c>
      <c r="C17" s="20" t="inlineStr">
        <is>
          <t>AGROPOTASION, 1000 L</t>
        </is>
      </c>
      <c r="D17" s="21" t="n">
        <v>1000</v>
      </c>
      <c r="E17" s="20" t="inlineStr">
        <is>
          <t>Depósito 1000 L</t>
        </is>
      </c>
      <c r="F17" s="19" t="inlineStr">
        <is>
          <t>COSTA RICA</t>
        </is>
      </c>
      <c r="G17" s="34" t="inlineStr">
        <is>
          <t>Sobre Pedido (Export)</t>
        </is>
      </c>
      <c r="H17" s="22" t="n">
        <v>1000</v>
      </c>
      <c r="I17" s="22" t="n">
        <v>0</v>
      </c>
      <c r="J17" s="22" t="n">
        <v>4000</v>
      </c>
      <c r="K17" s="22" t="n">
        <v>0</v>
      </c>
      <c r="L17" s="22" t="n">
        <v>2000</v>
      </c>
      <c r="M17" s="23" t="n">
        <v>6000</v>
      </c>
      <c r="N17" s="23" t="n">
        <v>6000000</v>
      </c>
      <c r="O17" s="23" t="n">
        <v>5000</v>
      </c>
      <c r="P17" s="23" t="n">
        <v>5000000</v>
      </c>
      <c r="Q17" s="24" t="inlineStr">
        <is>
          <t>SOBRE PEDIDO (EXP)</t>
        </is>
      </c>
    </row>
    <row r="18" ht="19" customHeight="1">
      <c r="A18" s="25" t="inlineStr">
        <is>
          <t>AGXKC1000</t>
        </is>
      </c>
      <c r="B18" s="29" t="inlineStr">
        <is>
          <t>AGXKC1000</t>
        </is>
      </c>
      <c r="C18" s="27" t="inlineStr">
        <is>
          <t>AGROXILATO-COMPLET, 1000 L</t>
        </is>
      </c>
      <c r="D18" s="28" t="n">
        <v>1000</v>
      </c>
      <c r="E18" s="27" t="inlineStr">
        <is>
          <t>Depósito 1000 L</t>
        </is>
      </c>
      <c r="F18" s="29" t="inlineStr">
        <is>
          <t>ESPAÑA</t>
        </is>
      </c>
      <c r="G18" s="29" t="inlineStr">
        <is>
          <t>Para Previsión (Nac)</t>
        </is>
      </c>
      <c r="H18" s="31" t="n">
        <v>0</v>
      </c>
      <c r="I18" s="31" t="n">
        <v>0</v>
      </c>
      <c r="J18" s="31" t="n">
        <v>0</v>
      </c>
      <c r="K18" s="31" t="n">
        <v>5000</v>
      </c>
      <c r="L18" s="31" t="n">
        <v>0</v>
      </c>
      <c r="M18" s="32" t="n">
        <v>5000</v>
      </c>
      <c r="N18" s="32" t="n">
        <v>5000000</v>
      </c>
      <c r="O18" s="32" t="n">
        <v>5000</v>
      </c>
      <c r="P18" s="32" t="n">
        <v>5000000</v>
      </c>
      <c r="Q18" s="24" t="inlineStr">
        <is>
          <t>FABRICACIÓN URGENTE</t>
        </is>
      </c>
    </row>
    <row r="19" ht="19" customHeight="1">
      <c r="A19" s="18" t="inlineStr">
        <is>
          <t>W330020</t>
        </is>
      </c>
      <c r="B19" s="33" t="inlineStr">
        <is>
          <t>W330020CL</t>
        </is>
      </c>
      <c r="C19" s="20" t="inlineStr">
        <is>
          <t>BAYFOLAN SUN, 20 KG</t>
        </is>
      </c>
      <c r="D19" s="21" t="n">
        <v>20</v>
      </c>
      <c r="E19" s="20" t="inlineStr">
        <is>
          <t>Garrafas 20L</t>
        </is>
      </c>
      <c r="F19" s="19" t="inlineStr">
        <is>
          <t>CHILE</t>
        </is>
      </c>
      <c r="G19" s="34" t="inlineStr">
        <is>
          <t>Sobre Pedido (Export)</t>
        </is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220000</v>
      </c>
      <c r="M19" s="23" t="n">
        <v>220000</v>
      </c>
      <c r="N19" s="23" t="n">
        <v>4400000</v>
      </c>
      <c r="O19" s="23" t="n">
        <v>220000</v>
      </c>
      <c r="P19" s="23" t="n">
        <v>4400000</v>
      </c>
      <c r="Q19" s="24" t="inlineStr">
        <is>
          <t>SOBRE PEDIDO (EXP)</t>
        </is>
      </c>
    </row>
    <row r="20" ht="19" customHeight="1">
      <c r="A20" s="25" t="inlineStr">
        <is>
          <t>AO0020</t>
        </is>
      </c>
      <c r="B20" s="26" t="inlineStr">
        <is>
          <t>AO0020MX</t>
        </is>
      </c>
      <c r="C20" s="27" t="inlineStr">
        <is>
          <t>ALCAPLANT NEW</t>
        </is>
      </c>
      <c r="D20" s="28" t="n">
        <v>20</v>
      </c>
      <c r="E20" s="27" t="inlineStr">
        <is>
          <t>Garrafas 20L</t>
        </is>
      </c>
      <c r="F20" s="29" t="inlineStr">
        <is>
          <t>NETHERLANS</t>
        </is>
      </c>
      <c r="G20" s="30" t="inlineStr">
        <is>
          <t>Sobre Pedido (Export)</t>
        </is>
      </c>
      <c r="H20" s="31" t="n">
        <v>0</v>
      </c>
      <c r="I20" s="31" t="n">
        <v>0</v>
      </c>
      <c r="J20" s="31" t="n">
        <v>44000</v>
      </c>
      <c r="K20" s="31" t="n">
        <v>66000</v>
      </c>
      <c r="L20" s="31" t="n">
        <v>66000</v>
      </c>
      <c r="M20" s="32" t="n">
        <v>176000</v>
      </c>
      <c r="N20" s="32" t="n">
        <v>3520000</v>
      </c>
      <c r="O20" s="32" t="n">
        <v>176000</v>
      </c>
      <c r="P20" s="32" t="n">
        <v>3520000</v>
      </c>
      <c r="Q20" s="24" t="inlineStr">
        <is>
          <t>SOBRE PEDIDO (EXP)</t>
        </is>
      </c>
    </row>
    <row r="21" ht="19" customHeight="1">
      <c r="A21" s="18" t="inlineStr">
        <is>
          <t>CPLUS1000</t>
        </is>
      </c>
      <c r="B21" s="19" t="inlineStr">
        <is>
          <t>CPLUS1000</t>
        </is>
      </c>
      <c r="C21" s="20" t="inlineStr">
        <is>
          <t>CALCIPLUS, 1000 L</t>
        </is>
      </c>
      <c r="D21" s="21" t="n">
        <v>1000</v>
      </c>
      <c r="E21" s="20" t="inlineStr">
        <is>
          <t>Depósito 1000 L</t>
        </is>
      </c>
      <c r="F21" s="19" t="inlineStr">
        <is>
          <t>ESPAÑA</t>
        </is>
      </c>
      <c r="G21" s="19" t="inlineStr">
        <is>
          <t>Para Previsión (Nac)</t>
        </is>
      </c>
      <c r="H21" s="22" t="n">
        <v>1000</v>
      </c>
      <c r="I21" s="22" t="n">
        <v>0</v>
      </c>
      <c r="J21" s="22" t="n">
        <v>2000</v>
      </c>
      <c r="K21" s="22" t="n">
        <v>2000</v>
      </c>
      <c r="L21" s="22" t="n">
        <v>0</v>
      </c>
      <c r="M21" s="23" t="n">
        <v>4000</v>
      </c>
      <c r="N21" s="23" t="n">
        <v>4000000</v>
      </c>
      <c r="O21" s="23" t="n">
        <v>3000</v>
      </c>
      <c r="P21" s="23" t="n">
        <v>3000000</v>
      </c>
      <c r="Q21" s="24" t="inlineStr">
        <is>
          <t>FABRICACIÓN URGENTE</t>
        </is>
      </c>
    </row>
    <row r="22" ht="19" customHeight="1">
      <c r="A22" s="25" t="inlineStr">
        <is>
          <t>CODIR1000</t>
        </is>
      </c>
      <c r="B22" s="26" t="inlineStr">
        <is>
          <t>CODIR1000CR</t>
        </is>
      </c>
      <c r="C22" s="27" t="inlineStr">
        <is>
          <t>CODIRESIST</t>
        </is>
      </c>
      <c r="D22" s="28" t="n">
        <v>1000</v>
      </c>
      <c r="E22" s="27" t="inlineStr">
        <is>
          <t>Depósito 1000 L</t>
        </is>
      </c>
      <c r="F22" s="29" t="inlineStr">
        <is>
          <t>COSTA RICA</t>
        </is>
      </c>
      <c r="G22" s="30" t="inlineStr">
        <is>
          <t>Sobre Pedido (Export)</t>
        </is>
      </c>
      <c r="H22" s="31" t="n">
        <v>0</v>
      </c>
      <c r="I22" s="31" t="n">
        <v>0</v>
      </c>
      <c r="J22" s="31" t="n">
        <v>1000</v>
      </c>
      <c r="K22" s="31" t="n">
        <v>1000</v>
      </c>
      <c r="L22" s="31" t="n">
        <v>1000</v>
      </c>
      <c r="M22" s="32" t="n">
        <v>3000</v>
      </c>
      <c r="N22" s="32" t="n">
        <v>3000000</v>
      </c>
      <c r="O22" s="32" t="n">
        <v>3000</v>
      </c>
      <c r="P22" s="32" t="n">
        <v>3000000</v>
      </c>
      <c r="Q22" s="24" t="inlineStr">
        <is>
          <t>SOBRE PEDIDO (EXP)</t>
        </is>
      </c>
    </row>
    <row r="23" ht="19" customHeight="1">
      <c r="A23" s="18" t="inlineStr">
        <is>
          <t>FIORI1000</t>
        </is>
      </c>
      <c r="B23" s="33" t="inlineStr">
        <is>
          <t>FIORI1000IT</t>
        </is>
      </c>
      <c r="C23" s="20" t="inlineStr">
        <is>
          <t>RADIFIORI, 1000 L</t>
        </is>
      </c>
      <c r="D23" s="21" t="n">
        <v>1000</v>
      </c>
      <c r="E23" s="20" t="inlineStr">
        <is>
          <t>Depósito 1000 L</t>
        </is>
      </c>
      <c r="F23" s="19" t="inlineStr">
        <is>
          <t>ITALIA</t>
        </is>
      </c>
      <c r="G23" s="34" t="inlineStr">
        <is>
          <t>Sobre Pedido (Export)</t>
        </is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3000</v>
      </c>
      <c r="M23" s="23" t="n">
        <v>3000</v>
      </c>
      <c r="N23" s="23" t="n">
        <v>3000000</v>
      </c>
      <c r="O23" s="23" t="n">
        <v>3000</v>
      </c>
      <c r="P23" s="23" t="n">
        <v>3000000</v>
      </c>
      <c r="Q23" s="24" t="inlineStr">
        <is>
          <t>SOBRE PEDIDO (EXP)</t>
        </is>
      </c>
    </row>
    <row r="24" ht="19" customHeight="1">
      <c r="A24" s="25" t="inlineStr">
        <is>
          <t>AGXK0200</t>
        </is>
      </c>
      <c r="B24" s="26" t="inlineStr">
        <is>
          <t>AGXK0200MA</t>
        </is>
      </c>
      <c r="C24" s="27" t="inlineStr">
        <is>
          <t>AGROXILATO-K, 200 L</t>
        </is>
      </c>
      <c r="D24" s="28" t="n">
        <v>200</v>
      </c>
      <c r="E24" s="27" t="inlineStr">
        <is>
          <t>Depósito 200 L</t>
        </is>
      </c>
      <c r="F24" s="29" t="inlineStr">
        <is>
          <t>MARRUECOS</t>
        </is>
      </c>
      <c r="G24" s="30" t="inlineStr">
        <is>
          <t>Sobre Pedido (Export)</t>
        </is>
      </c>
      <c r="H24" s="31" t="n">
        <v>0</v>
      </c>
      <c r="I24" s="31" t="n">
        <v>0</v>
      </c>
      <c r="J24" s="31" t="n">
        <v>5000</v>
      </c>
      <c r="K24" s="31" t="n">
        <v>0</v>
      </c>
      <c r="L24" s="31" t="n">
        <v>5000</v>
      </c>
      <c r="M24" s="32" t="n">
        <v>10000</v>
      </c>
      <c r="N24" s="32" t="n">
        <v>2000000</v>
      </c>
      <c r="O24" s="32" t="n">
        <v>10000</v>
      </c>
      <c r="P24" s="32" t="n">
        <v>2000000</v>
      </c>
      <c r="Q24" s="24" t="inlineStr">
        <is>
          <t>SOBRE PEDIDO (EXP)</t>
        </is>
      </c>
    </row>
    <row r="25" ht="19" customHeight="1">
      <c r="A25" s="18" t="inlineStr">
        <is>
          <t>C-CU1000</t>
        </is>
      </c>
      <c r="B25" s="33" t="inlineStr">
        <is>
          <t>C-CU1000CR</t>
        </is>
      </c>
      <c r="C25" s="20" t="inlineStr">
        <is>
          <t>CODICOBRE, 1000 L</t>
        </is>
      </c>
      <c r="D25" s="21" t="n">
        <v>1000</v>
      </c>
      <c r="E25" s="20" t="inlineStr">
        <is>
          <t>Depósito 1000 L</t>
        </is>
      </c>
      <c r="F25" s="19" t="inlineStr">
        <is>
          <t>COSTA RICA</t>
        </is>
      </c>
      <c r="G25" s="34" t="inlineStr">
        <is>
          <t>Sobre Pedido (Export)</t>
        </is>
      </c>
      <c r="H25" s="22" t="n">
        <v>0</v>
      </c>
      <c r="I25" s="22" t="n">
        <v>0</v>
      </c>
      <c r="J25" s="22" t="n">
        <v>0</v>
      </c>
      <c r="K25" s="22" t="n">
        <v>2000</v>
      </c>
      <c r="L25" s="22" t="n">
        <v>0</v>
      </c>
      <c r="M25" s="23" t="n">
        <v>2000</v>
      </c>
      <c r="N25" s="23" t="n">
        <v>2000000</v>
      </c>
      <c r="O25" s="23" t="n">
        <v>2000</v>
      </c>
      <c r="P25" s="23" t="n">
        <v>2000000</v>
      </c>
      <c r="Q25" s="24" t="inlineStr">
        <is>
          <t>SOBRE PEDIDO (EXP)</t>
        </is>
      </c>
    </row>
    <row r="26" ht="19" customHeight="1">
      <c r="A26" s="25" t="inlineStr">
        <is>
          <t>CZNMNES1000</t>
        </is>
      </c>
      <c r="B26" s="26" t="inlineStr">
        <is>
          <t>CZNMNES1000TR</t>
        </is>
      </c>
      <c r="C26" s="27" t="inlineStr">
        <is>
          <t>CODIFOL ZN-MN, 1000 KG</t>
        </is>
      </c>
      <c r="D26" s="28" t="n">
        <v>1000</v>
      </c>
      <c r="E26" s="27" t="inlineStr">
        <is>
          <t>Depósito 1000 L</t>
        </is>
      </c>
      <c r="F26" s="29" t="inlineStr">
        <is>
          <t>TURQUÍA</t>
        </is>
      </c>
      <c r="G26" s="30" t="inlineStr">
        <is>
          <t>Sobre Pedido (Export)</t>
        </is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2000</v>
      </c>
      <c r="M26" s="32" t="n">
        <v>2000</v>
      </c>
      <c r="N26" s="32" t="n">
        <v>2000000</v>
      </c>
      <c r="O26" s="32" t="n">
        <v>2000</v>
      </c>
      <c r="P26" s="32" t="n">
        <v>2000000</v>
      </c>
      <c r="Q26" s="24" t="inlineStr">
        <is>
          <t>SOBRE PEDIDO (EXP)</t>
        </is>
      </c>
    </row>
    <row r="27" ht="19" customHeight="1">
      <c r="A27" s="18" t="inlineStr">
        <is>
          <t>A-501000</t>
        </is>
      </c>
      <c r="B27" s="33" t="inlineStr">
        <is>
          <t>A-501000TR</t>
        </is>
      </c>
      <c r="C27" s="20" t="inlineStr">
        <is>
          <t>CODIORGAN-A50, 1000 KG</t>
        </is>
      </c>
      <c r="D27" s="21" t="n">
        <v>1000</v>
      </c>
      <c r="E27" s="20" t="inlineStr">
        <is>
          <t>Depósito 1000 L</t>
        </is>
      </c>
      <c r="F27" s="19" t="inlineStr">
        <is>
          <t>TURQUÍA</t>
        </is>
      </c>
      <c r="G27" s="34" t="inlineStr">
        <is>
          <t>Sobre Pedido (Export)</t>
        </is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2000</v>
      </c>
      <c r="M27" s="23" t="n">
        <v>2000</v>
      </c>
      <c r="N27" s="23" t="n">
        <v>2000000</v>
      </c>
      <c r="O27" s="23" t="n">
        <v>2000</v>
      </c>
      <c r="P27" s="23" t="n">
        <v>2000000</v>
      </c>
      <c r="Q27" s="24" t="inlineStr">
        <is>
          <t>SOBRE PEDIDO (EXP)</t>
        </is>
      </c>
    </row>
    <row r="28" ht="19" customHeight="1">
      <c r="A28" s="25" t="inlineStr">
        <is>
          <t>AGXK0200</t>
        </is>
      </c>
      <c r="B28" s="29" t="inlineStr">
        <is>
          <t>AGXK0200</t>
        </is>
      </c>
      <c r="C28" s="27" t="inlineStr">
        <is>
          <t>AGROXILATO-K, 200 L</t>
        </is>
      </c>
      <c r="D28" s="28" t="n">
        <v>200</v>
      </c>
      <c r="E28" s="27" t="inlineStr">
        <is>
          <t>Depósito 200 L</t>
        </is>
      </c>
      <c r="F28" s="29" t="inlineStr">
        <is>
          <t>ESPAÑA</t>
        </is>
      </c>
      <c r="G28" s="29" t="inlineStr">
        <is>
          <t>Para Previsión (Nac)</t>
        </is>
      </c>
      <c r="H28" s="31" t="n">
        <v>0</v>
      </c>
      <c r="I28" s="31" t="n">
        <v>0</v>
      </c>
      <c r="J28" s="31" t="n">
        <v>3200</v>
      </c>
      <c r="K28" s="31" t="n">
        <v>2800</v>
      </c>
      <c r="L28" s="31" t="n">
        <v>3000</v>
      </c>
      <c r="M28" s="32" t="n">
        <v>9000</v>
      </c>
      <c r="N28" s="32" t="n">
        <v>1800000</v>
      </c>
      <c r="O28" s="32" t="n">
        <v>9000</v>
      </c>
      <c r="P28" s="32" t="n">
        <v>1800000</v>
      </c>
      <c r="Q28" s="24" t="inlineStr">
        <is>
          <t>FABRICACIÓN URGENTE</t>
        </is>
      </c>
    </row>
    <row r="29" ht="19" customHeight="1">
      <c r="A29" s="18" t="inlineStr">
        <is>
          <t>G1000CRCO</t>
        </is>
      </c>
      <c r="B29" s="19" t="inlineStr">
        <is>
          <t>G1000CRCO</t>
        </is>
      </c>
      <c r="C29" s="20" t="inlineStr">
        <is>
          <t>TRANSLOCADOR</t>
        </is>
      </c>
      <c r="D29" s="21" t="n">
        <v>1000</v>
      </c>
      <c r="E29" s="20" t="inlineStr">
        <is>
          <t>Depósito 1000 L</t>
        </is>
      </c>
      <c r="F29" s="19" t="inlineStr">
        <is>
          <t>COSTA RICA</t>
        </is>
      </c>
      <c r="G29" s="34" t="inlineStr">
        <is>
          <t>Sobre Pedido (Export)</t>
        </is>
      </c>
      <c r="H29" s="22" t="n">
        <v>0</v>
      </c>
      <c r="I29" s="22" t="n">
        <v>0</v>
      </c>
      <c r="J29" s="22" t="n">
        <v>1000</v>
      </c>
      <c r="K29" s="22" t="n">
        <v>0</v>
      </c>
      <c r="L29" s="22" t="n">
        <v>500</v>
      </c>
      <c r="M29" s="23" t="n">
        <v>1500</v>
      </c>
      <c r="N29" s="23" t="n">
        <v>1500000</v>
      </c>
      <c r="O29" s="23" t="n">
        <v>1500</v>
      </c>
      <c r="P29" s="23" t="n">
        <v>1500000</v>
      </c>
      <c r="Q29" s="24" t="inlineStr">
        <is>
          <t>SOBRE PEDIDO (EXP)</t>
        </is>
      </c>
    </row>
    <row r="30" ht="19" customHeight="1">
      <c r="A30" s="25" t="inlineStr">
        <is>
          <t>AGXCR1000</t>
        </is>
      </c>
      <c r="B30" s="26" t="inlineStr">
        <is>
          <t>AGXCR1000RO</t>
        </is>
      </c>
      <c r="C30" s="27" t="inlineStr">
        <is>
          <t>AGROXILATO-K</t>
        </is>
      </c>
      <c r="D30" s="28" t="n">
        <v>1000</v>
      </c>
      <c r="E30" s="27" t="inlineStr">
        <is>
          <t>Depósito 1000 L</t>
        </is>
      </c>
      <c r="F30" s="29" t="inlineStr">
        <is>
          <t>RUMANÍA</t>
        </is>
      </c>
      <c r="G30" s="30" t="inlineStr">
        <is>
          <t>Sobre Pedido (Export)</t>
        </is>
      </c>
      <c r="H30" s="31" t="n">
        <v>0</v>
      </c>
      <c r="I30" s="31" t="n">
        <v>0</v>
      </c>
      <c r="J30" s="31" t="n">
        <v>0</v>
      </c>
      <c r="K30" s="31" t="n">
        <v>1000</v>
      </c>
      <c r="L30" s="31" t="n">
        <v>0</v>
      </c>
      <c r="M30" s="32" t="n">
        <v>1000</v>
      </c>
      <c r="N30" s="32" t="n">
        <v>1000000</v>
      </c>
      <c r="O30" s="32" t="n">
        <v>1000</v>
      </c>
      <c r="P30" s="32" t="n">
        <v>1000000</v>
      </c>
      <c r="Q30" s="24" t="inlineStr">
        <is>
          <t>SOBRE PEDIDO (EXP)</t>
        </is>
      </c>
    </row>
    <row r="31" ht="19" customHeight="1">
      <c r="A31" s="18" t="inlineStr">
        <is>
          <t>B1000RORU</t>
        </is>
      </c>
      <c r="B31" s="19" t="inlineStr">
        <is>
          <t>B1000RORU</t>
        </is>
      </c>
      <c r="C31" s="20" t="inlineStr">
        <is>
          <t>BOROCAL, 1000 L</t>
        </is>
      </c>
      <c r="D31" s="21" t="n">
        <v>1000</v>
      </c>
      <c r="E31" s="20" t="inlineStr">
        <is>
          <t>Depósito 1000 L</t>
        </is>
      </c>
      <c r="F31" s="19" t="inlineStr">
        <is>
          <t>RUMANÍA</t>
        </is>
      </c>
      <c r="G31" s="34" t="inlineStr">
        <is>
          <t>Sobre Pedido (Export)</t>
        </is>
      </c>
      <c r="H31" s="22" t="n">
        <v>0</v>
      </c>
      <c r="I31" s="22" t="n">
        <v>0</v>
      </c>
      <c r="J31" s="22" t="n">
        <v>0</v>
      </c>
      <c r="K31" s="22" t="n">
        <v>1000</v>
      </c>
      <c r="L31" s="22" t="n">
        <v>0</v>
      </c>
      <c r="M31" s="23" t="n">
        <v>1000</v>
      </c>
      <c r="N31" s="23" t="n">
        <v>1000000</v>
      </c>
      <c r="O31" s="23" t="n">
        <v>1000</v>
      </c>
      <c r="P31" s="23" t="n">
        <v>1000000</v>
      </c>
      <c r="Q31" s="24" t="inlineStr">
        <is>
          <t>SOBRE PEDIDO (EXP)</t>
        </is>
      </c>
    </row>
    <row r="32" ht="19" customHeight="1">
      <c r="A32" s="25" t="inlineStr">
        <is>
          <t>FU1000</t>
        </is>
      </c>
      <c r="B32" s="26" t="inlineStr">
        <is>
          <t>FU1000TR</t>
        </is>
      </c>
      <c r="C32" s="27" t="inlineStr">
        <is>
          <t>FULVIGIN, 1000 L</t>
        </is>
      </c>
      <c r="D32" s="28" t="n">
        <v>1000</v>
      </c>
      <c r="E32" s="27" t="inlineStr">
        <is>
          <t>Depósito 1000 L</t>
        </is>
      </c>
      <c r="F32" s="29" t="inlineStr">
        <is>
          <t>TURQUÍA</t>
        </is>
      </c>
      <c r="G32" s="30" t="inlineStr">
        <is>
          <t>Sobre Pedido (Export)</t>
        </is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1000</v>
      </c>
      <c r="M32" s="32" t="n">
        <v>1000</v>
      </c>
      <c r="N32" s="32" t="n">
        <v>1000000</v>
      </c>
      <c r="O32" s="32" t="n">
        <v>1000</v>
      </c>
      <c r="P32" s="32" t="n">
        <v>1000000</v>
      </c>
      <c r="Q32" s="24" t="inlineStr">
        <is>
          <t>SOBRE PEDIDO (EXP)</t>
        </is>
      </c>
    </row>
    <row r="33" ht="19" customHeight="1">
      <c r="A33" s="18" t="inlineStr">
        <is>
          <t>F-A1000</t>
        </is>
      </c>
      <c r="B33" s="33" t="inlineStr">
        <is>
          <t>F-A1000CR</t>
        </is>
      </c>
      <c r="C33" s="20" t="inlineStr">
        <is>
          <t>FITOLIN AGRO</t>
        </is>
      </c>
      <c r="D33" s="21" t="n">
        <v>1000</v>
      </c>
      <c r="E33" s="20" t="inlineStr">
        <is>
          <t>Depósito 1000 L</t>
        </is>
      </c>
      <c r="F33" s="19" t="inlineStr">
        <is>
          <t>COSTA RICA</t>
        </is>
      </c>
      <c r="G33" s="34" t="inlineStr">
        <is>
          <t>Sobre Pedido (Export)</t>
        </is>
      </c>
      <c r="H33" s="22" t="n">
        <v>1000</v>
      </c>
      <c r="I33" s="22" t="n">
        <v>0</v>
      </c>
      <c r="J33" s="22" t="n">
        <v>0</v>
      </c>
      <c r="K33" s="22" t="n">
        <v>1000</v>
      </c>
      <c r="L33" s="22" t="n">
        <v>1000</v>
      </c>
      <c r="M33" s="23" t="n">
        <v>2000</v>
      </c>
      <c r="N33" s="23" t="n">
        <v>2000000</v>
      </c>
      <c r="O33" s="23" t="n">
        <v>1000</v>
      </c>
      <c r="P33" s="23" t="n">
        <v>1000000</v>
      </c>
      <c r="Q33" s="24" t="inlineStr">
        <is>
          <t>SOBRE PEDIDO (EXP)</t>
        </is>
      </c>
    </row>
    <row r="34" ht="19" customHeight="1">
      <c r="A34" s="25" t="inlineStr">
        <is>
          <t>BIO0020</t>
        </is>
      </c>
      <c r="B34" s="26" t="inlineStr">
        <is>
          <t>BIO0020GE</t>
        </is>
      </c>
      <c r="C34" s="27" t="inlineStr">
        <is>
          <t>BIORAD-20, 20 L</t>
        </is>
      </c>
      <c r="D34" s="28" t="n">
        <v>20</v>
      </c>
      <c r="E34" s="27" t="inlineStr">
        <is>
          <t>Garrafas 20L</t>
        </is>
      </c>
      <c r="F34" s="29" t="inlineStr">
        <is>
          <t>GEORGIA</t>
        </is>
      </c>
      <c r="G34" s="30" t="inlineStr">
        <is>
          <t>Sobre Pedido (Export)</t>
        </is>
      </c>
      <c r="H34" s="31" t="n">
        <v>0</v>
      </c>
      <c r="I34" s="31" t="n">
        <v>0</v>
      </c>
      <c r="J34" s="31" t="n">
        <v>0</v>
      </c>
      <c r="K34" s="31" t="n">
        <v>0</v>
      </c>
      <c r="L34" s="31" t="n">
        <v>30000</v>
      </c>
      <c r="M34" s="32" t="n">
        <v>30000</v>
      </c>
      <c r="N34" s="32" t="n">
        <v>600000</v>
      </c>
      <c r="O34" s="32" t="n">
        <v>30000</v>
      </c>
      <c r="P34" s="32" t="n">
        <v>600000</v>
      </c>
      <c r="Q34" s="24" t="inlineStr">
        <is>
          <t>SOBRE PEDIDO (EXP)</t>
        </is>
      </c>
    </row>
    <row r="35" ht="19" customHeight="1">
      <c r="A35" s="18" t="inlineStr">
        <is>
          <t>AGXK0020</t>
        </is>
      </c>
      <c r="B35" s="19" t="inlineStr">
        <is>
          <t>AGXK0020</t>
        </is>
      </c>
      <c r="C35" s="20" t="inlineStr">
        <is>
          <t>AGROXILATO-K, 20 L</t>
        </is>
      </c>
      <c r="D35" s="21" t="n">
        <v>20</v>
      </c>
      <c r="E35" s="20" t="inlineStr">
        <is>
          <t>Garrafas 20L</t>
        </is>
      </c>
      <c r="F35" s="19" t="inlineStr">
        <is>
          <t>ESPAÑA</t>
        </is>
      </c>
      <c r="G35" s="19" t="inlineStr">
        <is>
          <t>Para Previsión (Nac)</t>
        </is>
      </c>
      <c r="H35" s="22" t="n">
        <v>25480</v>
      </c>
      <c r="I35" s="22" t="n">
        <v>0</v>
      </c>
      <c r="J35" s="22" t="n">
        <v>18580</v>
      </c>
      <c r="K35" s="22" t="n">
        <v>17240</v>
      </c>
      <c r="L35" s="22" t="n">
        <v>16780</v>
      </c>
      <c r="M35" s="23" t="n">
        <v>52600</v>
      </c>
      <c r="N35" s="23" t="n">
        <v>1052000</v>
      </c>
      <c r="O35" s="23" t="n">
        <v>27120</v>
      </c>
      <c r="P35" s="23" t="n">
        <v>542400</v>
      </c>
      <c r="Q35" s="24" t="inlineStr">
        <is>
          <t>FABRICACIÓN URGENTE</t>
        </is>
      </c>
    </row>
    <row r="36" ht="19" customHeight="1">
      <c r="A36" s="25" t="inlineStr">
        <is>
          <t>AGXK0020</t>
        </is>
      </c>
      <c r="B36" s="26" t="inlineStr">
        <is>
          <t>AGXK0020MX</t>
        </is>
      </c>
      <c r="C36" s="27" t="inlineStr">
        <is>
          <t>AGROXILATO-K, 20 L</t>
        </is>
      </c>
      <c r="D36" s="28" t="n">
        <v>20</v>
      </c>
      <c r="E36" s="27" t="inlineStr">
        <is>
          <t>Garrafas 20L</t>
        </is>
      </c>
      <c r="F36" s="29" t="inlineStr">
        <is>
          <t>NETHERLANS</t>
        </is>
      </c>
      <c r="G36" s="30" t="inlineStr">
        <is>
          <t>Sobre Pedido (Export)</t>
        </is>
      </c>
      <c r="H36" s="31" t="n">
        <v>0</v>
      </c>
      <c r="I36" s="31" t="n">
        <v>0</v>
      </c>
      <c r="J36" s="31" t="n">
        <v>9600</v>
      </c>
      <c r="K36" s="31" t="n">
        <v>16800</v>
      </c>
      <c r="L36" s="31" t="n">
        <v>0</v>
      </c>
      <c r="M36" s="32" t="n">
        <v>26400</v>
      </c>
      <c r="N36" s="32" t="n">
        <v>528000</v>
      </c>
      <c r="O36" s="32" t="n">
        <v>26400</v>
      </c>
      <c r="P36" s="32" t="n">
        <v>528000</v>
      </c>
      <c r="Q36" s="24" t="inlineStr">
        <is>
          <t>SOBRE PEDIDO (EXP)</t>
        </is>
      </c>
    </row>
    <row r="37" ht="19" customHeight="1">
      <c r="A37" s="18" t="inlineStr">
        <is>
          <t>AN0020</t>
        </is>
      </c>
      <c r="B37" s="33" t="inlineStr">
        <is>
          <t>AN0020CR</t>
        </is>
      </c>
      <c r="C37" s="20" t="inlineStr">
        <is>
          <t>ALCAPLANT NEW, 20 KG</t>
        </is>
      </c>
      <c r="D37" s="21" t="n">
        <v>20</v>
      </c>
      <c r="E37" s="20" t="inlineStr">
        <is>
          <t>Garrafas 20L</t>
        </is>
      </c>
      <c r="F37" s="19" t="inlineStr">
        <is>
          <t>COSTA RICA</t>
        </is>
      </c>
      <c r="G37" s="34" t="inlineStr">
        <is>
          <t>Sobre Pedido (Export)</t>
        </is>
      </c>
      <c r="H37" s="22" t="n">
        <v>0</v>
      </c>
      <c r="I37" s="22" t="n">
        <v>0</v>
      </c>
      <c r="J37" s="22" t="n">
        <v>11000</v>
      </c>
      <c r="K37" s="22" t="n">
        <v>15400</v>
      </c>
      <c r="L37" s="22" t="n">
        <v>0</v>
      </c>
      <c r="M37" s="23" t="n">
        <v>26400</v>
      </c>
      <c r="N37" s="23" t="n">
        <v>528000</v>
      </c>
      <c r="O37" s="23" t="n">
        <v>26400</v>
      </c>
      <c r="P37" s="23" t="n">
        <v>528000</v>
      </c>
      <c r="Q37" s="24" t="inlineStr">
        <is>
          <t>SOBRE PEDIDO (EXP)</t>
        </is>
      </c>
    </row>
    <row r="38" ht="19" customHeight="1">
      <c r="A38" s="25" t="inlineStr">
        <is>
          <t>SSEG0005</t>
        </is>
      </c>
      <c r="B38" s="26" t="inlineStr">
        <is>
          <t>SSEG0005EG</t>
        </is>
      </c>
      <c r="C38" s="27" t="inlineStr">
        <is>
          <t>SALWAX CALCIO EGIPTO, 5 KG</t>
        </is>
      </c>
      <c r="D38" s="28" t="n">
        <v>5</v>
      </c>
      <c r="E38" s="27" t="inlineStr">
        <is>
          <t>Garrafas 5L</t>
        </is>
      </c>
      <c r="F38" s="29" t="inlineStr">
        <is>
          <t>EGIPTO</t>
        </is>
      </c>
      <c r="G38" s="30" t="inlineStr">
        <is>
          <t>Sobre Pedido (Export)</t>
        </is>
      </c>
      <c r="H38" s="31" t="n">
        <v>715</v>
      </c>
      <c r="I38" s="31" t="n">
        <v>0</v>
      </c>
      <c r="J38" s="31" t="n">
        <v>21000</v>
      </c>
      <c r="K38" s="31" t="n">
        <v>21000</v>
      </c>
      <c r="L38" s="31" t="n">
        <v>0</v>
      </c>
      <c r="M38" s="32" t="n">
        <v>42000</v>
      </c>
      <c r="N38" s="32" t="n">
        <v>210000</v>
      </c>
      <c r="O38" s="32" t="n">
        <v>41285</v>
      </c>
      <c r="P38" s="32" t="n">
        <v>206425</v>
      </c>
      <c r="Q38" s="24" t="inlineStr">
        <is>
          <t>SOBRE PEDIDO (EXP)</t>
        </is>
      </c>
    </row>
    <row r="39" ht="19" customHeight="1">
      <c r="A39" s="18" t="inlineStr">
        <is>
          <t>BIO0020</t>
        </is>
      </c>
      <c r="B39" s="33" t="inlineStr">
        <is>
          <t>BIO0020TR</t>
        </is>
      </c>
      <c r="C39" s="20" t="inlineStr">
        <is>
          <t>BIORAD-20, 20 L</t>
        </is>
      </c>
      <c r="D39" s="21" t="n">
        <v>20</v>
      </c>
      <c r="E39" s="20" t="inlineStr">
        <is>
          <t>Garrafas 20L</t>
        </is>
      </c>
      <c r="F39" s="19" t="inlineStr">
        <is>
          <t>TURQUÍA</t>
        </is>
      </c>
      <c r="G39" s="34" t="inlineStr">
        <is>
          <t>Sobre Pedido (Export)</t>
        </is>
      </c>
      <c r="H39" s="22" t="n">
        <v>0</v>
      </c>
      <c r="I39" s="22" t="n">
        <v>10060</v>
      </c>
      <c r="J39" s="22" t="n">
        <v>0</v>
      </c>
      <c r="K39" s="22" t="n">
        <v>0</v>
      </c>
      <c r="L39" s="22" t="n">
        <v>0</v>
      </c>
      <c r="M39" s="23" t="n">
        <v>10060</v>
      </c>
      <c r="N39" s="23" t="n">
        <v>201200</v>
      </c>
      <c r="O39" s="23" t="n">
        <v>10060</v>
      </c>
      <c r="P39" s="23" t="n">
        <v>201200</v>
      </c>
      <c r="Q39" s="24" t="inlineStr">
        <is>
          <t>SOBRE PEDIDO (EXP)</t>
        </is>
      </c>
    </row>
    <row r="40" ht="19" customHeight="1">
      <c r="A40" s="25" t="inlineStr">
        <is>
          <t>BIO0020</t>
        </is>
      </c>
      <c r="B40" s="26" t="inlineStr">
        <is>
          <t>BIO0020MA</t>
        </is>
      </c>
      <c r="C40" s="27" t="inlineStr">
        <is>
          <t>BIORAD-20, 20 L</t>
        </is>
      </c>
      <c r="D40" s="28" t="n">
        <v>20</v>
      </c>
      <c r="E40" s="27" t="inlineStr">
        <is>
          <t>Garrafas 20L</t>
        </is>
      </c>
      <c r="F40" s="29" t="inlineStr">
        <is>
          <t>MARRUECOS</t>
        </is>
      </c>
      <c r="G40" s="30" t="inlineStr">
        <is>
          <t>Sobre Pedido (Export)</t>
        </is>
      </c>
      <c r="H40" s="31" t="n">
        <v>0</v>
      </c>
      <c r="I40" s="31" t="n">
        <v>0</v>
      </c>
      <c r="J40" s="31" t="n">
        <v>5000</v>
      </c>
      <c r="K40" s="31" t="n">
        <v>0</v>
      </c>
      <c r="L40" s="31" t="n">
        <v>5000</v>
      </c>
      <c r="M40" s="32" t="n">
        <v>10000</v>
      </c>
      <c r="N40" s="32" t="n">
        <v>200000</v>
      </c>
      <c r="O40" s="32" t="n">
        <v>10000</v>
      </c>
      <c r="P40" s="32" t="n">
        <v>200000</v>
      </c>
      <c r="Q40" s="24" t="inlineStr">
        <is>
          <t>SOBRE PEDIDO (EXP)</t>
        </is>
      </c>
    </row>
    <row r="41" ht="19" customHeight="1">
      <c r="A41" s="18" t="inlineStr">
        <is>
          <t>AGXK0020</t>
        </is>
      </c>
      <c r="B41" s="33" t="inlineStr">
        <is>
          <t>AGXK0020MA</t>
        </is>
      </c>
      <c r="C41" s="20" t="inlineStr">
        <is>
          <t>AGROXILATO-K, 20 L</t>
        </is>
      </c>
      <c r="D41" s="21" t="n">
        <v>20</v>
      </c>
      <c r="E41" s="20" t="inlineStr">
        <is>
          <t>Garrafas 20L</t>
        </is>
      </c>
      <c r="F41" s="19" t="inlineStr">
        <is>
          <t>MARRUECOS</t>
        </is>
      </c>
      <c r="G41" s="34" t="inlineStr">
        <is>
          <t>Sobre Pedido (Export)</t>
        </is>
      </c>
      <c r="H41" s="22" t="n">
        <v>0</v>
      </c>
      <c r="I41" s="22" t="n">
        <v>0</v>
      </c>
      <c r="J41" s="22" t="n">
        <v>5000</v>
      </c>
      <c r="K41" s="22" t="n">
        <v>0</v>
      </c>
      <c r="L41" s="22" t="n">
        <v>5000</v>
      </c>
      <c r="M41" s="23" t="n">
        <v>10000</v>
      </c>
      <c r="N41" s="23" t="n">
        <v>200000</v>
      </c>
      <c r="O41" s="23" t="n">
        <v>10000</v>
      </c>
      <c r="P41" s="23" t="n">
        <v>200000</v>
      </c>
      <c r="Q41" s="24" t="inlineStr">
        <is>
          <t>SOBRE PEDIDO (EXP)</t>
        </is>
      </c>
    </row>
    <row r="42" ht="19" customHeight="1">
      <c r="A42" s="25" t="inlineStr">
        <is>
          <t>AN0020</t>
        </is>
      </c>
      <c r="B42" s="26" t="inlineStr">
        <is>
          <t>AN0020EC</t>
        </is>
      </c>
      <c r="C42" s="27" t="inlineStr">
        <is>
          <t>ALCAPLANT NEW, 20 KG</t>
        </is>
      </c>
      <c r="D42" s="28" t="n">
        <v>20</v>
      </c>
      <c r="E42" s="27" t="inlineStr">
        <is>
          <t>Garrafas 20L</t>
        </is>
      </c>
      <c r="F42" s="29" t="inlineStr">
        <is>
          <t>ECUADOR (INCLUIDAS LAS ISLAS GALÁPAGOS)</t>
        </is>
      </c>
      <c r="G42" s="30" t="inlineStr">
        <is>
          <t>Sobre Pedido (Export)</t>
        </is>
      </c>
      <c r="H42" s="31" t="n">
        <v>0</v>
      </c>
      <c r="I42" s="31" t="n">
        <v>0</v>
      </c>
      <c r="J42" s="31" t="n">
        <v>10000</v>
      </c>
      <c r="K42" s="31" t="n">
        <v>0</v>
      </c>
      <c r="L42" s="31" t="n">
        <v>0</v>
      </c>
      <c r="M42" s="32" t="n">
        <v>10000</v>
      </c>
      <c r="N42" s="32" t="n">
        <v>200000</v>
      </c>
      <c r="O42" s="32" t="n">
        <v>10000</v>
      </c>
      <c r="P42" s="32" t="n">
        <v>200000</v>
      </c>
      <c r="Q42" s="24" t="inlineStr">
        <is>
          <t>SOBRE PEDIDO (EXP)</t>
        </is>
      </c>
    </row>
    <row r="43" ht="19" customHeight="1">
      <c r="A43" s="18" t="inlineStr">
        <is>
          <t>SSEG0020</t>
        </is>
      </c>
      <c r="B43" s="33" t="inlineStr">
        <is>
          <t>SSEG0020EG</t>
        </is>
      </c>
      <c r="C43" s="20" t="inlineStr">
        <is>
          <t>SAL-WAX Ca</t>
        </is>
      </c>
      <c r="D43" s="21" t="n">
        <v>20</v>
      </c>
      <c r="E43" s="20" t="inlineStr">
        <is>
          <t>Garrafas 20L</t>
        </is>
      </c>
      <c r="F43" s="19" t="inlineStr">
        <is>
          <t>EGIPTO</t>
        </is>
      </c>
      <c r="G43" s="34" t="inlineStr">
        <is>
          <t>Sobre Pedido (Export)</t>
        </is>
      </c>
      <c r="H43" s="22" t="n">
        <v>0</v>
      </c>
      <c r="I43" s="22" t="n">
        <v>0</v>
      </c>
      <c r="J43" s="22" t="n">
        <v>0</v>
      </c>
      <c r="K43" s="22" t="n">
        <v>10000</v>
      </c>
      <c r="L43" s="22" t="n">
        <v>0</v>
      </c>
      <c r="M43" s="23" t="n">
        <v>10000</v>
      </c>
      <c r="N43" s="23" t="n">
        <v>200000</v>
      </c>
      <c r="O43" s="23" t="n">
        <v>10000</v>
      </c>
      <c r="P43" s="23" t="n">
        <v>200000</v>
      </c>
      <c r="Q43" s="24" t="inlineStr">
        <is>
          <t>SOBRE PEDIDO (EXP)</t>
        </is>
      </c>
    </row>
    <row r="44" ht="19" customHeight="1">
      <c r="A44" s="25" t="inlineStr">
        <is>
          <t>AN0020</t>
        </is>
      </c>
      <c r="B44" s="26" t="inlineStr">
        <is>
          <t>AN0020CO</t>
        </is>
      </c>
      <c r="C44" s="27" t="inlineStr">
        <is>
          <t>ALCAPLANT NEW, 20 KG</t>
        </is>
      </c>
      <c r="D44" s="28" t="n">
        <v>20</v>
      </c>
      <c r="E44" s="27" t="inlineStr">
        <is>
          <t>Garrafas 20L</t>
        </is>
      </c>
      <c r="F44" s="29" t="inlineStr">
        <is>
          <t>COLOMBIA</t>
        </is>
      </c>
      <c r="G44" s="30" t="inlineStr">
        <is>
          <t>Sobre Pedido (Export)</t>
        </is>
      </c>
      <c r="H44" s="31" t="n">
        <v>0</v>
      </c>
      <c r="I44" s="31" t="n">
        <v>4000</v>
      </c>
      <c r="J44" s="31" t="n">
        <v>0</v>
      </c>
      <c r="K44" s="31" t="n">
        <v>0</v>
      </c>
      <c r="L44" s="31" t="n">
        <v>5000</v>
      </c>
      <c r="M44" s="32" t="n">
        <v>9000</v>
      </c>
      <c r="N44" s="32" t="n">
        <v>180000</v>
      </c>
      <c r="O44" s="32" t="n">
        <v>9000</v>
      </c>
      <c r="P44" s="32" t="n">
        <v>180000</v>
      </c>
      <c r="Q44" s="24" t="inlineStr">
        <is>
          <t>SOBRE PEDIDO (EXP)</t>
        </is>
      </c>
    </row>
    <row r="45" ht="19" customHeight="1">
      <c r="A45" s="18" t="inlineStr">
        <is>
          <t>PIV0020</t>
        </is>
      </c>
      <c r="B45" s="19" t="inlineStr">
        <is>
          <t>PIV0020</t>
        </is>
      </c>
      <c r="C45" s="20" t="inlineStr">
        <is>
          <t>PGR IV, 20 L</t>
        </is>
      </c>
      <c r="D45" s="21" t="n">
        <v>20</v>
      </c>
      <c r="E45" s="20" t="inlineStr">
        <is>
          <t>Garrafas 20L</t>
        </is>
      </c>
      <c r="F45" s="19" t="inlineStr">
        <is>
          <t>ESPAÑA</t>
        </is>
      </c>
      <c r="G45" s="19" t="inlineStr">
        <is>
          <t>Para Previsión (Nac)</t>
        </is>
      </c>
      <c r="H45" s="22" t="n">
        <v>1820</v>
      </c>
      <c r="I45" s="22" t="n">
        <v>200</v>
      </c>
      <c r="J45" s="22" t="n">
        <v>5120</v>
      </c>
      <c r="K45" s="22" t="n">
        <v>3200</v>
      </c>
      <c r="L45" s="22" t="n">
        <v>1920</v>
      </c>
      <c r="M45" s="23" t="n">
        <v>10440</v>
      </c>
      <c r="N45" s="23" t="n">
        <v>208800</v>
      </c>
      <c r="O45" s="23" t="n">
        <v>8620</v>
      </c>
      <c r="P45" s="23" t="n">
        <v>172400</v>
      </c>
      <c r="Q45" s="24" t="inlineStr">
        <is>
          <t>FABRICACIÓN URGENTE</t>
        </is>
      </c>
    </row>
    <row r="46" ht="19" customHeight="1">
      <c r="A46" s="25" t="inlineStr">
        <is>
          <t>CPLUS0200</t>
        </is>
      </c>
      <c r="B46" s="29" t="inlineStr">
        <is>
          <t>CPLUS0200</t>
        </is>
      </c>
      <c r="C46" s="27" t="inlineStr">
        <is>
          <t>CALCIPLUS, 200 L</t>
        </is>
      </c>
      <c r="D46" s="28" t="n">
        <v>200</v>
      </c>
      <c r="E46" s="27" t="inlineStr">
        <is>
          <t>Depósito 200 L</t>
        </is>
      </c>
      <c r="F46" s="29" t="inlineStr">
        <is>
          <t>ESPAÑA</t>
        </is>
      </c>
      <c r="G46" s="29" t="inlineStr">
        <is>
          <t>Para Previsión (Nac)</t>
        </is>
      </c>
      <c r="H46" s="31" t="n">
        <v>0</v>
      </c>
      <c r="I46" s="31" t="n">
        <v>0</v>
      </c>
      <c r="J46" s="31" t="n">
        <v>0</v>
      </c>
      <c r="K46" s="31" t="n">
        <v>800</v>
      </c>
      <c r="L46" s="31" t="n">
        <v>0</v>
      </c>
      <c r="M46" s="32" t="n">
        <v>800</v>
      </c>
      <c r="N46" s="32" t="n">
        <v>160000</v>
      </c>
      <c r="O46" s="32" t="n">
        <v>800</v>
      </c>
      <c r="P46" s="32" t="n">
        <v>160000</v>
      </c>
      <c r="Q46" s="24" t="inlineStr">
        <is>
          <t>FABRICACIÓN URGENTE</t>
        </is>
      </c>
    </row>
    <row r="47" ht="19" customHeight="1">
      <c r="A47" s="18" t="inlineStr">
        <is>
          <t>BIO0020</t>
        </is>
      </c>
      <c r="B47" s="19" t="inlineStr">
        <is>
          <t>BIO0020</t>
        </is>
      </c>
      <c r="C47" s="20" t="inlineStr">
        <is>
          <t>BIORAD-20, 20 L</t>
        </is>
      </c>
      <c r="D47" s="21" t="n">
        <v>20</v>
      </c>
      <c r="E47" s="20" t="inlineStr">
        <is>
          <t>Garrafas 20L</t>
        </is>
      </c>
      <c r="F47" s="19" t="inlineStr">
        <is>
          <t>ESPAÑA</t>
        </is>
      </c>
      <c r="G47" s="19" t="inlineStr">
        <is>
          <t>Para Previsión (Nac)</t>
        </is>
      </c>
      <c r="H47" s="22" t="n">
        <v>5780</v>
      </c>
      <c r="I47" s="22" t="n">
        <v>640</v>
      </c>
      <c r="J47" s="22" t="n">
        <v>4720</v>
      </c>
      <c r="K47" s="22" t="n">
        <v>5520</v>
      </c>
      <c r="L47" s="22" t="n">
        <v>2840</v>
      </c>
      <c r="M47" s="23" t="n">
        <v>13720</v>
      </c>
      <c r="N47" s="23" t="n">
        <v>274400</v>
      </c>
      <c r="O47" s="23" t="n">
        <v>7940</v>
      </c>
      <c r="P47" s="23" t="n">
        <v>158800</v>
      </c>
      <c r="Q47" s="24" t="inlineStr">
        <is>
          <t>FABRICACIÓN URGENTE</t>
        </is>
      </c>
    </row>
    <row r="48" ht="19" customHeight="1">
      <c r="A48" s="25" t="inlineStr">
        <is>
          <t>CPLUS0020</t>
        </is>
      </c>
      <c r="B48" s="29" t="inlineStr">
        <is>
          <t>CPLUS0020</t>
        </is>
      </c>
      <c r="C48" s="27" t="inlineStr">
        <is>
          <t>CALCIPLUS, 20 L</t>
        </is>
      </c>
      <c r="D48" s="28" t="n">
        <v>20</v>
      </c>
      <c r="E48" s="27" t="inlineStr">
        <is>
          <t>Garrafas 20L</t>
        </is>
      </c>
      <c r="F48" s="29" t="inlineStr">
        <is>
          <t>ESPAÑA</t>
        </is>
      </c>
      <c r="G48" s="29" t="inlineStr">
        <is>
          <t>Para Previsión (Nac)</t>
        </is>
      </c>
      <c r="H48" s="31" t="n">
        <v>5000</v>
      </c>
      <c r="I48" s="31" t="n">
        <v>0</v>
      </c>
      <c r="J48" s="31" t="n">
        <v>4880</v>
      </c>
      <c r="K48" s="31" t="n">
        <v>4480</v>
      </c>
      <c r="L48" s="31" t="n">
        <v>1920</v>
      </c>
      <c r="M48" s="32" t="n">
        <v>11280</v>
      </c>
      <c r="N48" s="32" t="n">
        <v>225600</v>
      </c>
      <c r="O48" s="32" t="n">
        <v>6280</v>
      </c>
      <c r="P48" s="32" t="n">
        <v>125600</v>
      </c>
      <c r="Q48" s="24" t="inlineStr">
        <is>
          <t>FABRICACIÓN URGENTE</t>
        </is>
      </c>
    </row>
    <row r="49" ht="19" customHeight="1">
      <c r="A49" s="18" t="inlineStr">
        <is>
          <t>AN0020</t>
        </is>
      </c>
      <c r="B49" s="33" t="inlineStr">
        <is>
          <t>AN0020GE</t>
        </is>
      </c>
      <c r="C49" s="20" t="inlineStr">
        <is>
          <t>ALCAPLANT NEW, 20 KG</t>
        </is>
      </c>
      <c r="D49" s="21" t="n">
        <v>20</v>
      </c>
      <c r="E49" s="20" t="inlineStr">
        <is>
          <t>Garrafas 20L</t>
        </is>
      </c>
      <c r="F49" s="19" t="inlineStr">
        <is>
          <t>GEORGIA</t>
        </is>
      </c>
      <c r="G49" s="34" t="inlineStr">
        <is>
          <t>Sobre Pedido (Export)</t>
        </is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6000</v>
      </c>
      <c r="M49" s="23" t="n">
        <v>6000</v>
      </c>
      <c r="N49" s="23" t="n">
        <v>120000</v>
      </c>
      <c r="O49" s="23" t="n">
        <v>6000</v>
      </c>
      <c r="P49" s="23" t="n">
        <v>120000</v>
      </c>
      <c r="Q49" s="24" t="inlineStr">
        <is>
          <t>SOBRE PEDIDO (EXP)</t>
        </is>
      </c>
    </row>
    <row r="50" ht="19" customHeight="1">
      <c r="A50" s="25" t="inlineStr">
        <is>
          <t>AVAN0020</t>
        </is>
      </c>
      <c r="B50" s="29" t="inlineStr">
        <is>
          <t>AVAN0020</t>
        </is>
      </c>
      <c r="C50" s="27" t="inlineStr">
        <is>
          <t>FLORAMEC AVANCE, 20 L</t>
        </is>
      </c>
      <c r="D50" s="28" t="n">
        <v>20</v>
      </c>
      <c r="E50" s="27" t="inlineStr">
        <is>
          <t>Garrafas 20L</t>
        </is>
      </c>
      <c r="F50" s="29" t="inlineStr">
        <is>
          <t>ESPAÑA</t>
        </is>
      </c>
      <c r="G50" s="29" t="inlineStr">
        <is>
          <t>Para Previsión (Nac)</t>
        </is>
      </c>
      <c r="H50" s="31" t="n">
        <v>360</v>
      </c>
      <c r="I50" s="31" t="n">
        <v>0</v>
      </c>
      <c r="J50" s="31" t="n">
        <v>2640</v>
      </c>
      <c r="K50" s="31" t="n">
        <v>1160</v>
      </c>
      <c r="L50" s="31" t="n">
        <v>2320</v>
      </c>
      <c r="M50" s="32" t="n">
        <v>6120</v>
      </c>
      <c r="N50" s="32" t="n">
        <v>122400</v>
      </c>
      <c r="O50" s="32" t="n">
        <v>5760</v>
      </c>
      <c r="P50" s="32" t="n">
        <v>115200</v>
      </c>
      <c r="Q50" s="24" t="inlineStr">
        <is>
          <t>FABRICACIÓN URGENTE</t>
        </is>
      </c>
    </row>
    <row r="51" ht="19" customHeight="1">
      <c r="A51" s="18" t="inlineStr">
        <is>
          <t>PT0020</t>
        </is>
      </c>
      <c r="B51" s="19" t="inlineStr">
        <is>
          <t>PT0020</t>
        </is>
      </c>
      <c r="C51" s="20" t="inlineStr">
        <is>
          <t>AGROPOTASION, 20 L</t>
        </is>
      </c>
      <c r="D51" s="21" t="n">
        <v>20</v>
      </c>
      <c r="E51" s="20" t="inlineStr">
        <is>
          <t>Garrafas 20L</t>
        </is>
      </c>
      <c r="F51" s="19" t="inlineStr">
        <is>
          <t>ESPAÑA</t>
        </is>
      </c>
      <c r="G51" s="19" t="inlineStr">
        <is>
          <t>Para Previsión (Nac)</t>
        </is>
      </c>
      <c r="H51" s="22" t="n">
        <v>10648</v>
      </c>
      <c r="I51" s="22" t="n">
        <v>0</v>
      </c>
      <c r="J51" s="22" t="n">
        <v>7680</v>
      </c>
      <c r="K51" s="22" t="n">
        <v>7680</v>
      </c>
      <c r="L51" s="22" t="n">
        <v>300</v>
      </c>
      <c r="M51" s="23" t="n">
        <v>15660</v>
      </c>
      <c r="N51" s="23" t="n">
        <v>313200</v>
      </c>
      <c r="O51" s="23" t="n">
        <v>5012</v>
      </c>
      <c r="P51" s="23" t="n">
        <v>100240</v>
      </c>
      <c r="Q51" s="24" t="inlineStr">
        <is>
          <t>FABRICACIÓN URGENTE</t>
        </is>
      </c>
    </row>
    <row r="52" ht="19" customHeight="1">
      <c r="A52" s="25" t="inlineStr">
        <is>
          <t>PT0020</t>
        </is>
      </c>
      <c r="B52" s="26" t="inlineStr">
        <is>
          <t>PT0020MA</t>
        </is>
      </c>
      <c r="C52" s="27" t="inlineStr">
        <is>
          <t>AGROPOTASION, 20 L</t>
        </is>
      </c>
      <c r="D52" s="28" t="n">
        <v>20</v>
      </c>
      <c r="E52" s="27" t="inlineStr">
        <is>
          <t>Garrafas 20L</t>
        </is>
      </c>
      <c r="F52" s="29" t="inlineStr">
        <is>
          <t>MARRUECOS</t>
        </is>
      </c>
      <c r="G52" s="30" t="inlineStr">
        <is>
          <t>Sobre Pedido (Export)</t>
        </is>
      </c>
      <c r="H52" s="31" t="n">
        <v>0</v>
      </c>
      <c r="I52" s="31" t="n">
        <v>0</v>
      </c>
      <c r="J52" s="31" t="n">
        <v>5000</v>
      </c>
      <c r="K52" s="31" t="n">
        <v>0</v>
      </c>
      <c r="L52" s="31" t="n">
        <v>0</v>
      </c>
      <c r="M52" s="32" t="n">
        <v>5000</v>
      </c>
      <c r="N52" s="32" t="n">
        <v>100000</v>
      </c>
      <c r="O52" s="32" t="n">
        <v>5000</v>
      </c>
      <c r="P52" s="32" t="n">
        <v>100000</v>
      </c>
      <c r="Q52" s="24" t="inlineStr">
        <is>
          <t>SOBRE PEDIDO (EXP)</t>
        </is>
      </c>
    </row>
    <row r="53" ht="19" customHeight="1">
      <c r="A53" s="18" t="inlineStr">
        <is>
          <t>AGXCR0020</t>
        </is>
      </c>
      <c r="B53" s="33" t="inlineStr">
        <is>
          <t>AGXCR0020LB</t>
        </is>
      </c>
      <c r="C53" s="20" t="inlineStr">
        <is>
          <t>AGROXILATO-K, (0-5-20), 20 LtS.</t>
        </is>
      </c>
      <c r="D53" s="21" t="n">
        <v>20</v>
      </c>
      <c r="E53" s="20" t="inlineStr">
        <is>
          <t>Garrafas 20L</t>
        </is>
      </c>
      <c r="F53" s="19" t="inlineStr">
        <is>
          <t>LÍBANO</t>
        </is>
      </c>
      <c r="G53" s="34" t="inlineStr">
        <is>
          <t>Sobre Pedido (Export)</t>
        </is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5000</v>
      </c>
      <c r="M53" s="23" t="n">
        <v>5000</v>
      </c>
      <c r="N53" s="23" t="n">
        <v>100000</v>
      </c>
      <c r="O53" s="23" t="n">
        <v>5000</v>
      </c>
      <c r="P53" s="23" t="n">
        <v>100000</v>
      </c>
      <c r="Q53" s="24" t="inlineStr">
        <is>
          <t>SOBRE PEDIDO (EXP)</t>
        </is>
      </c>
    </row>
    <row r="54" ht="19" customHeight="1">
      <c r="A54" s="25" t="inlineStr">
        <is>
          <t>AN0005</t>
        </is>
      </c>
      <c r="B54" s="26" t="inlineStr">
        <is>
          <t>AN0005CR</t>
        </is>
      </c>
      <c r="C54" s="27" t="inlineStr">
        <is>
          <t>ALCAPLANT NEW, 5 KG</t>
        </is>
      </c>
      <c r="D54" s="28" t="n">
        <v>5</v>
      </c>
      <c r="E54" s="27" t="inlineStr">
        <is>
          <t>Garrafas 5L</t>
        </is>
      </c>
      <c r="F54" s="29" t="inlineStr">
        <is>
          <t>COSTA RICA</t>
        </is>
      </c>
      <c r="G54" s="30" t="inlineStr">
        <is>
          <t>Sobre Pedido (Export)</t>
        </is>
      </c>
      <c r="H54" s="31" t="n">
        <v>0</v>
      </c>
      <c r="I54" s="31" t="n">
        <v>0</v>
      </c>
      <c r="J54" s="31" t="n">
        <v>11000</v>
      </c>
      <c r="K54" s="31" t="n">
        <v>0</v>
      </c>
      <c r="L54" s="31" t="n">
        <v>7000</v>
      </c>
      <c r="M54" s="32" t="n">
        <v>18000</v>
      </c>
      <c r="N54" s="32" t="n">
        <v>90000</v>
      </c>
      <c r="O54" s="32" t="n">
        <v>18000</v>
      </c>
      <c r="P54" s="32" t="n">
        <v>90000</v>
      </c>
      <c r="Q54" s="24" t="inlineStr">
        <is>
          <t>SOBRE PEDIDO (EXP)</t>
        </is>
      </c>
    </row>
    <row r="55" ht="19" customHeight="1">
      <c r="A55" s="18" t="inlineStr">
        <is>
          <t>PT0200</t>
        </is>
      </c>
      <c r="B55" s="19" t="inlineStr">
        <is>
          <t>PT0200</t>
        </is>
      </c>
      <c r="C55" s="20" t="inlineStr">
        <is>
          <t>AGROPOTASION, 200 L</t>
        </is>
      </c>
      <c r="D55" s="21" t="n">
        <v>200</v>
      </c>
      <c r="E55" s="20" t="inlineStr">
        <is>
          <t>Depósito 200 L</t>
        </is>
      </c>
      <c r="F55" s="19" t="inlineStr">
        <is>
          <t>ESPAÑA</t>
        </is>
      </c>
      <c r="G55" s="19" t="inlineStr">
        <is>
          <t>Para Previsión (Nac)</t>
        </is>
      </c>
      <c r="H55" s="22" t="n">
        <v>0</v>
      </c>
      <c r="I55" s="22" t="n">
        <v>0</v>
      </c>
      <c r="J55" s="22" t="n">
        <v>200</v>
      </c>
      <c r="K55" s="22" t="n">
        <v>200</v>
      </c>
      <c r="L55" s="22" t="n">
        <v>0</v>
      </c>
      <c r="M55" s="23" t="n">
        <v>400</v>
      </c>
      <c r="N55" s="23" t="n">
        <v>80000</v>
      </c>
      <c r="O55" s="23" t="n">
        <v>400</v>
      </c>
      <c r="P55" s="23" t="n">
        <v>80000</v>
      </c>
      <c r="Q55" s="24" t="inlineStr">
        <is>
          <t>FABRICACIÓN URGENTE</t>
        </is>
      </c>
    </row>
    <row r="56" ht="19" customHeight="1">
      <c r="A56" s="25" t="inlineStr">
        <is>
          <t>AVAN0200</t>
        </is>
      </c>
      <c r="B56" s="26" t="inlineStr">
        <is>
          <t>AVAN0200RO</t>
        </is>
      </c>
      <c r="C56" s="27" t="inlineStr">
        <is>
          <t>FLORAMEC AVANCE, 200 L</t>
        </is>
      </c>
      <c r="D56" s="28" t="n">
        <v>200</v>
      </c>
      <c r="E56" s="27" t="inlineStr">
        <is>
          <t>Depósito 200 L</t>
        </is>
      </c>
      <c r="F56" s="29" t="inlineStr">
        <is>
          <t>RUMANÍA</t>
        </is>
      </c>
      <c r="G56" s="30" t="inlineStr">
        <is>
          <t>Sobre Pedido (Export)</t>
        </is>
      </c>
      <c r="H56" s="31" t="n">
        <v>0</v>
      </c>
      <c r="I56" s="31" t="n">
        <v>0</v>
      </c>
      <c r="J56" s="31" t="n">
        <v>0</v>
      </c>
      <c r="K56" s="31" t="n">
        <v>400</v>
      </c>
      <c r="L56" s="31" t="n">
        <v>0</v>
      </c>
      <c r="M56" s="32" t="n">
        <v>400</v>
      </c>
      <c r="N56" s="32" t="n">
        <v>80000</v>
      </c>
      <c r="O56" s="32" t="n">
        <v>400</v>
      </c>
      <c r="P56" s="32" t="n">
        <v>80000</v>
      </c>
      <c r="Q56" s="24" t="inlineStr">
        <is>
          <t>SOBRE PEDIDO (EXP)</t>
        </is>
      </c>
    </row>
    <row r="57" ht="19" customHeight="1">
      <c r="A57" s="18" t="inlineStr">
        <is>
          <t>G0200RORU</t>
        </is>
      </c>
      <c r="B57" s="19" t="inlineStr">
        <is>
          <t>G0200RORU</t>
        </is>
      </c>
      <c r="C57" s="20" t="inlineStr">
        <is>
          <t>GREEN-UP EXPORTACION, 200 L</t>
        </is>
      </c>
      <c r="D57" s="21" t="n">
        <v>200</v>
      </c>
      <c r="E57" s="20" t="inlineStr">
        <is>
          <t>Depósito 200 L</t>
        </is>
      </c>
      <c r="F57" s="19" t="inlineStr">
        <is>
          <t>RUMANÍA</t>
        </is>
      </c>
      <c r="G57" s="34" t="inlineStr">
        <is>
          <t>Sobre Pedido (Export)</t>
        </is>
      </c>
      <c r="H57" s="22" t="n">
        <v>0</v>
      </c>
      <c r="I57" s="22" t="n">
        <v>0</v>
      </c>
      <c r="J57" s="22" t="n">
        <v>0</v>
      </c>
      <c r="K57" s="22" t="n">
        <v>400</v>
      </c>
      <c r="L57" s="22" t="n">
        <v>0</v>
      </c>
      <c r="M57" s="23" t="n">
        <v>400</v>
      </c>
      <c r="N57" s="23" t="n">
        <v>80000</v>
      </c>
      <c r="O57" s="23" t="n">
        <v>400</v>
      </c>
      <c r="P57" s="23" t="n">
        <v>80000</v>
      </c>
      <c r="Q57" s="24" t="inlineStr">
        <is>
          <t>SOBRE PEDIDO (EXP)</t>
        </is>
      </c>
    </row>
    <row r="58" ht="19" customHeight="1">
      <c r="A58" s="25" t="inlineStr">
        <is>
          <t>AN0005</t>
        </is>
      </c>
      <c r="B58" s="26" t="inlineStr">
        <is>
          <t>AN0005TR</t>
        </is>
      </c>
      <c r="C58" s="27" t="inlineStr">
        <is>
          <t>ALCAPLANT NEW, 5 KG</t>
        </is>
      </c>
      <c r="D58" s="28" t="n">
        <v>5</v>
      </c>
      <c r="E58" s="27" t="inlineStr">
        <is>
          <t>Garrafas 5L</t>
        </is>
      </c>
      <c r="F58" s="29" t="inlineStr">
        <is>
          <t>TURQUÍA</t>
        </is>
      </c>
      <c r="G58" s="30" t="inlineStr">
        <is>
          <t>Sobre Pedido (Export)</t>
        </is>
      </c>
      <c r="H58" s="31" t="n">
        <v>0</v>
      </c>
      <c r="I58" s="31" t="n">
        <v>0</v>
      </c>
      <c r="J58" s="31" t="n">
        <v>0</v>
      </c>
      <c r="K58" s="31" t="n">
        <v>0</v>
      </c>
      <c r="L58" s="31" t="n">
        <v>15000</v>
      </c>
      <c r="M58" s="32" t="n">
        <v>15000</v>
      </c>
      <c r="N58" s="32" t="n">
        <v>75000</v>
      </c>
      <c r="O58" s="32" t="n">
        <v>15000</v>
      </c>
      <c r="P58" s="32" t="n">
        <v>75000</v>
      </c>
      <c r="Q58" s="24" t="inlineStr">
        <is>
          <t>SOBRE PEDIDO (EXP)</t>
        </is>
      </c>
    </row>
    <row r="59" ht="19" customHeight="1">
      <c r="A59" s="18" t="inlineStr">
        <is>
          <t>SS0020</t>
        </is>
      </c>
      <c r="B59" s="33" t="inlineStr">
        <is>
          <t>SS0020CR</t>
        </is>
      </c>
      <c r="C59" s="20" t="inlineStr">
        <is>
          <t>SAL-WAX-Ca sólido, 20 KG</t>
        </is>
      </c>
      <c r="D59" s="21" t="n">
        <v>20</v>
      </c>
      <c r="E59" s="20" t="inlineStr">
        <is>
          <t>Garrafas 20L</t>
        </is>
      </c>
      <c r="F59" s="19" t="inlineStr">
        <is>
          <t>COSTA RICA</t>
        </is>
      </c>
      <c r="G59" s="34" t="inlineStr">
        <is>
          <t>Sobre Pedido (Export)</t>
        </is>
      </c>
      <c r="H59" s="22" t="n">
        <v>0</v>
      </c>
      <c r="I59" s="22" t="n">
        <v>0</v>
      </c>
      <c r="J59" s="22" t="n">
        <v>2760</v>
      </c>
      <c r="K59" s="22" t="n">
        <v>0</v>
      </c>
      <c r="L59" s="22" t="n">
        <v>800</v>
      </c>
      <c r="M59" s="23" t="n">
        <v>3560</v>
      </c>
      <c r="N59" s="23" t="n">
        <v>71200</v>
      </c>
      <c r="O59" s="23" t="n">
        <v>3560</v>
      </c>
      <c r="P59" s="23" t="n">
        <v>71200</v>
      </c>
      <c r="Q59" s="24" t="inlineStr">
        <is>
          <t>SOBRE PEDIDO (EXP)</t>
        </is>
      </c>
    </row>
    <row r="60" ht="19" customHeight="1">
      <c r="A60" s="25" t="inlineStr">
        <is>
          <t>AN0005</t>
        </is>
      </c>
      <c r="B60" s="26" t="inlineStr">
        <is>
          <t>AN0005CO</t>
        </is>
      </c>
      <c r="C60" s="27" t="inlineStr">
        <is>
          <t>ALCAPLANT NEW, 5 KG</t>
        </is>
      </c>
      <c r="D60" s="28" t="n">
        <v>5</v>
      </c>
      <c r="E60" s="27" t="inlineStr">
        <is>
          <t>Garrafas 5L</t>
        </is>
      </c>
      <c r="F60" s="29" t="inlineStr">
        <is>
          <t>COLOMBIA</t>
        </is>
      </c>
      <c r="G60" s="30" t="inlineStr">
        <is>
          <t>Sobre Pedido (Export)</t>
        </is>
      </c>
      <c r="H60" s="31" t="n">
        <v>0</v>
      </c>
      <c r="I60" s="31" t="n">
        <v>0</v>
      </c>
      <c r="J60" s="31" t="n">
        <v>0</v>
      </c>
      <c r="K60" s="31" t="n">
        <v>0</v>
      </c>
      <c r="L60" s="31" t="n">
        <v>11000</v>
      </c>
      <c r="M60" s="32" t="n">
        <v>11000</v>
      </c>
      <c r="N60" s="32" t="n">
        <v>55000</v>
      </c>
      <c r="O60" s="32" t="n">
        <v>11000</v>
      </c>
      <c r="P60" s="32" t="n">
        <v>55000</v>
      </c>
      <c r="Q60" s="24" t="inlineStr">
        <is>
          <t>SOBRE PEDIDO (EXP)</t>
        </is>
      </c>
    </row>
    <row r="61" ht="19" customHeight="1">
      <c r="A61" s="18" t="inlineStr">
        <is>
          <t>S0020</t>
        </is>
      </c>
      <c r="B61" s="19" t="inlineStr">
        <is>
          <t>S0020</t>
        </is>
      </c>
      <c r="C61" s="20" t="inlineStr">
        <is>
          <t>SALWAX STAR, 20 L</t>
        </is>
      </c>
      <c r="D61" s="21" t="n">
        <v>20</v>
      </c>
      <c r="E61" s="20" t="inlineStr">
        <is>
          <t>Garrafas 20L</t>
        </is>
      </c>
      <c r="F61" s="19" t="inlineStr">
        <is>
          <t>ESPAÑA</t>
        </is>
      </c>
      <c r="G61" s="19" t="inlineStr">
        <is>
          <t>Para Previsión (Nac)</t>
        </is>
      </c>
      <c r="H61" s="22" t="n">
        <v>3800</v>
      </c>
      <c r="I61" s="22" t="n">
        <v>0</v>
      </c>
      <c r="J61" s="22" t="n">
        <v>2560</v>
      </c>
      <c r="K61" s="22" t="n">
        <v>3200</v>
      </c>
      <c r="L61" s="22" t="n">
        <v>640</v>
      </c>
      <c r="M61" s="23" t="n">
        <v>6400</v>
      </c>
      <c r="N61" s="23" t="n">
        <v>128000</v>
      </c>
      <c r="O61" s="23" t="n">
        <v>2600</v>
      </c>
      <c r="P61" s="23" t="n">
        <v>52000</v>
      </c>
      <c r="Q61" s="24" t="inlineStr">
        <is>
          <t>FABRICACIÓN URGENTE</t>
        </is>
      </c>
    </row>
    <row r="62" ht="19" customHeight="1">
      <c r="A62" s="25" t="inlineStr">
        <is>
          <t>A-50(2)0020</t>
        </is>
      </c>
      <c r="B62" s="26" t="inlineStr">
        <is>
          <t>A-50(2)0020MA</t>
        </is>
      </c>
      <c r="C62" s="27" t="inlineStr">
        <is>
          <t>CODIORGAN A-50, 20 KG</t>
        </is>
      </c>
      <c r="D62" s="28" t="n">
        <v>20</v>
      </c>
      <c r="E62" s="27" t="inlineStr">
        <is>
          <t>Garrafas 20L</t>
        </is>
      </c>
      <c r="F62" s="29" t="inlineStr">
        <is>
          <t>MARRUECOS</t>
        </is>
      </c>
      <c r="G62" s="30" t="inlineStr">
        <is>
          <t>Sobre Pedido (Export)</t>
        </is>
      </c>
      <c r="H62" s="31" t="n">
        <v>480</v>
      </c>
      <c r="I62" s="31" t="n">
        <v>0</v>
      </c>
      <c r="J62" s="31" t="n">
        <v>2000</v>
      </c>
      <c r="K62" s="31" t="n">
        <v>0</v>
      </c>
      <c r="L62" s="31" t="n">
        <v>1000</v>
      </c>
      <c r="M62" s="32" t="n">
        <v>3000</v>
      </c>
      <c r="N62" s="32" t="n">
        <v>60000</v>
      </c>
      <c r="O62" s="32" t="n">
        <v>2520</v>
      </c>
      <c r="P62" s="32" t="n">
        <v>50400</v>
      </c>
      <c r="Q62" s="24" t="inlineStr">
        <is>
          <t>SOBRE PEDIDO (EXP)</t>
        </is>
      </c>
    </row>
    <row r="63" ht="19" customHeight="1">
      <c r="A63" s="18" t="inlineStr">
        <is>
          <t>BIO0020</t>
        </is>
      </c>
      <c r="B63" s="33" t="inlineStr">
        <is>
          <t>BIO0020DO</t>
        </is>
      </c>
      <c r="C63" s="20" t="inlineStr">
        <is>
          <t>BIORAD-20, 20 L</t>
        </is>
      </c>
      <c r="D63" s="21" t="n">
        <v>20</v>
      </c>
      <c r="E63" s="20" t="inlineStr">
        <is>
          <t>Garrafas 20L</t>
        </is>
      </c>
      <c r="F63" s="19" t="inlineStr">
        <is>
          <t>DOMINICANA, REPÚBLICA</t>
        </is>
      </c>
      <c r="G63" s="34" t="inlineStr">
        <is>
          <t>Sobre Pedido (Export)</t>
        </is>
      </c>
      <c r="H63" s="22" t="n">
        <v>0</v>
      </c>
      <c r="I63" s="22" t="n">
        <v>0</v>
      </c>
      <c r="J63" s="22" t="n">
        <v>0</v>
      </c>
      <c r="K63" s="22" t="n">
        <v>2500</v>
      </c>
      <c r="L63" s="22" t="n">
        <v>0</v>
      </c>
      <c r="M63" s="23" t="n">
        <v>2500</v>
      </c>
      <c r="N63" s="23" t="n">
        <v>50000</v>
      </c>
      <c r="O63" s="23" t="n">
        <v>2500</v>
      </c>
      <c r="P63" s="23" t="n">
        <v>50000</v>
      </c>
      <c r="Q63" s="24" t="inlineStr">
        <is>
          <t>SOBRE PEDIDO (EXP)</t>
        </is>
      </c>
    </row>
    <row r="64" ht="19" customHeight="1">
      <c r="A64" s="25" t="inlineStr">
        <is>
          <t>FTK0005</t>
        </is>
      </c>
      <c r="B64" s="26" t="inlineStr">
        <is>
          <t>FTK0005TR</t>
        </is>
      </c>
      <c r="C64" s="27" t="inlineStr">
        <is>
          <t>FITOKONTROL CA FLOW, 5 KG</t>
        </is>
      </c>
      <c r="D64" s="28" t="n">
        <v>5</v>
      </c>
      <c r="E64" s="27" t="inlineStr">
        <is>
          <t>Garrafas 5L</t>
        </is>
      </c>
      <c r="F64" s="29" t="inlineStr">
        <is>
          <t>TURQUÍA</t>
        </is>
      </c>
      <c r="G64" s="30" t="inlineStr">
        <is>
          <t>Sobre Pedido (Export)</t>
        </is>
      </c>
      <c r="H64" s="31" t="n">
        <v>0</v>
      </c>
      <c r="I64" s="31" t="n">
        <v>0</v>
      </c>
      <c r="J64" s="31" t="n">
        <v>0</v>
      </c>
      <c r="K64" s="31" t="n">
        <v>0</v>
      </c>
      <c r="L64" s="31" t="n">
        <v>10000</v>
      </c>
      <c r="M64" s="32" t="n">
        <v>10000</v>
      </c>
      <c r="N64" s="32" t="n">
        <v>50000</v>
      </c>
      <c r="O64" s="32" t="n">
        <v>10000</v>
      </c>
      <c r="P64" s="32" t="n">
        <v>50000</v>
      </c>
      <c r="Q64" s="24" t="inlineStr">
        <is>
          <t>SOBRE PEDIDO (EXP)</t>
        </is>
      </c>
    </row>
    <row r="65" ht="19" customHeight="1">
      <c r="A65" s="18" t="inlineStr">
        <is>
          <t>VITA0005</t>
        </is>
      </c>
      <c r="B65" s="33" t="inlineStr">
        <is>
          <t>VITA0005GR</t>
        </is>
      </c>
      <c r="C65" s="20" t="inlineStr">
        <is>
          <t>VITA-S</t>
        </is>
      </c>
      <c r="D65" s="21" t="n">
        <v>5</v>
      </c>
      <c r="E65" s="20" t="inlineStr">
        <is>
          <t>Garrafas 5L</t>
        </is>
      </c>
      <c r="F65" s="19" t="inlineStr">
        <is>
          <t>GRECIA</t>
        </is>
      </c>
      <c r="G65" s="34" t="inlineStr">
        <is>
          <t>Sobre Pedido (Export)</t>
        </is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10000</v>
      </c>
      <c r="M65" s="23" t="n">
        <v>10000</v>
      </c>
      <c r="N65" s="23" t="n">
        <v>50000</v>
      </c>
      <c r="O65" s="23" t="n">
        <v>10000</v>
      </c>
      <c r="P65" s="23" t="n">
        <v>50000</v>
      </c>
      <c r="Q65" s="24" t="inlineStr">
        <is>
          <t>SOBRE PEDIDO (EXP)</t>
        </is>
      </c>
    </row>
    <row r="66" ht="19" customHeight="1">
      <c r="A66" s="25" t="inlineStr">
        <is>
          <t>CBROT0020</t>
        </is>
      </c>
      <c r="B66" s="26" t="inlineStr">
        <is>
          <t>CBROT0020AZ</t>
        </is>
      </c>
      <c r="C66" s="27" t="inlineStr">
        <is>
          <t>CODIBROT, 20 L</t>
        </is>
      </c>
      <c r="D66" s="28" t="n">
        <v>20</v>
      </c>
      <c r="E66" s="27" t="inlineStr">
        <is>
          <t>Garrafas 20L</t>
        </is>
      </c>
      <c r="F66" s="29" t="inlineStr">
        <is>
          <t>AZERBAIYÁN</t>
        </is>
      </c>
      <c r="G66" s="30" t="inlineStr">
        <is>
          <t>Sobre Pedido (Export)</t>
        </is>
      </c>
      <c r="H66" s="31" t="n">
        <v>620</v>
      </c>
      <c r="I66" s="31" t="n">
        <v>0</v>
      </c>
      <c r="J66" s="31" t="n">
        <v>0</v>
      </c>
      <c r="K66" s="31" t="n">
        <v>0</v>
      </c>
      <c r="L66" s="31" t="n">
        <v>3000</v>
      </c>
      <c r="M66" s="32" t="n">
        <v>3000</v>
      </c>
      <c r="N66" s="32" t="n">
        <v>60000</v>
      </c>
      <c r="O66" s="32" t="n">
        <v>2380</v>
      </c>
      <c r="P66" s="32" t="n">
        <v>47600</v>
      </c>
      <c r="Q66" s="24" t="inlineStr">
        <is>
          <t>SOBRE PEDIDO (EXP)</t>
        </is>
      </c>
    </row>
    <row r="67" ht="19" customHeight="1">
      <c r="A67" s="18" t="inlineStr">
        <is>
          <t>BC0005</t>
        </is>
      </c>
      <c r="B67" s="33" t="inlineStr">
        <is>
          <t>BC0005LB</t>
        </is>
      </c>
      <c r="C67" s="20" t="inlineStr">
        <is>
          <t>BITTER-CAL, 5 KG</t>
        </is>
      </c>
      <c r="D67" s="21" t="n">
        <v>5</v>
      </c>
      <c r="E67" s="20" t="inlineStr">
        <is>
          <t>Garrafas 5L</t>
        </is>
      </c>
      <c r="F67" s="19" t="inlineStr">
        <is>
          <t>LÍBANO</t>
        </is>
      </c>
      <c r="G67" s="34" t="inlineStr">
        <is>
          <t>Sobre Pedido (Export)</t>
        </is>
      </c>
      <c r="H67" s="22" t="n">
        <v>545</v>
      </c>
      <c r="I67" s="22" t="n">
        <v>0</v>
      </c>
      <c r="J67" s="22" t="n">
        <v>0</v>
      </c>
      <c r="K67" s="22" t="n">
        <v>0</v>
      </c>
      <c r="L67" s="22" t="n">
        <v>10000</v>
      </c>
      <c r="M67" s="23" t="n">
        <v>10000</v>
      </c>
      <c r="N67" s="23" t="n">
        <v>50000</v>
      </c>
      <c r="O67" s="23" t="n">
        <v>9455</v>
      </c>
      <c r="P67" s="23" t="n">
        <v>47275</v>
      </c>
      <c r="Q67" s="24" t="inlineStr">
        <is>
          <t>SOBRE PEDIDO (EXP)</t>
        </is>
      </c>
    </row>
    <row r="68" ht="19" customHeight="1">
      <c r="A68" s="25" t="inlineStr">
        <is>
          <t>FTK0020</t>
        </is>
      </c>
      <c r="B68" s="26" t="inlineStr">
        <is>
          <t>FTK0020RS</t>
        </is>
      </c>
      <c r="C68" s="27" t="inlineStr">
        <is>
          <t>FITOKONTROL CA FLOW, 20 KG</t>
        </is>
      </c>
      <c r="D68" s="28" t="n">
        <v>20</v>
      </c>
      <c r="E68" s="27" t="inlineStr">
        <is>
          <t>Garrafas 20L</t>
        </is>
      </c>
      <c r="F68" s="29" t="inlineStr">
        <is>
          <t>SERBIA</t>
        </is>
      </c>
      <c r="G68" s="30" t="inlineStr">
        <is>
          <t>Sobre Pedido (Export)</t>
        </is>
      </c>
      <c r="H68" s="31" t="n">
        <v>0</v>
      </c>
      <c r="I68" s="31" t="n">
        <v>0</v>
      </c>
      <c r="J68" s="31" t="n">
        <v>0</v>
      </c>
      <c r="K68" s="31" t="n">
        <v>0</v>
      </c>
      <c r="L68" s="31" t="n">
        <v>2200</v>
      </c>
      <c r="M68" s="32" t="n">
        <v>2200</v>
      </c>
      <c r="N68" s="32" t="n">
        <v>44000</v>
      </c>
      <c r="O68" s="32" t="n">
        <v>2200</v>
      </c>
      <c r="P68" s="32" t="n">
        <v>44000</v>
      </c>
      <c r="Q68" s="24" t="inlineStr">
        <is>
          <t>SOBRE PEDIDO (EXP)</t>
        </is>
      </c>
    </row>
    <row r="69" ht="19" customHeight="1">
      <c r="A69" s="18" t="inlineStr">
        <is>
          <t>HST0020</t>
        </is>
      </c>
      <c r="B69" s="19" t="inlineStr">
        <is>
          <t>HST0020</t>
        </is>
      </c>
      <c r="C69" s="20" t="inlineStr">
        <is>
          <t>HIDROSTRESS-40, 20 L</t>
        </is>
      </c>
      <c r="D69" s="21" t="n">
        <v>20</v>
      </c>
      <c r="E69" s="20" t="inlineStr">
        <is>
          <t>Garrafas 20L</t>
        </is>
      </c>
      <c r="F69" s="19" t="inlineStr">
        <is>
          <t>ESPAÑA</t>
        </is>
      </c>
      <c r="G69" s="19" t="inlineStr">
        <is>
          <t>Para Previsión (Nac)</t>
        </is>
      </c>
      <c r="H69" s="22" t="n">
        <v>400</v>
      </c>
      <c r="I69" s="22" t="n">
        <v>0</v>
      </c>
      <c r="J69" s="22" t="n">
        <v>1280</v>
      </c>
      <c r="K69" s="22" t="n">
        <v>1280</v>
      </c>
      <c r="L69" s="22" t="n">
        <v>0</v>
      </c>
      <c r="M69" s="23" t="n">
        <v>2560</v>
      </c>
      <c r="N69" s="23" t="n">
        <v>51200</v>
      </c>
      <c r="O69" s="23" t="n">
        <v>2160</v>
      </c>
      <c r="P69" s="23" t="n">
        <v>43200</v>
      </c>
      <c r="Q69" s="24" t="inlineStr">
        <is>
          <t>FABRICACIÓN URGENTE</t>
        </is>
      </c>
    </row>
    <row r="70" ht="19" customHeight="1">
      <c r="A70" s="25" t="inlineStr">
        <is>
          <t>C-L0020</t>
        </is>
      </c>
      <c r="B70" s="26" t="inlineStr">
        <is>
          <t>C-L0020AZ</t>
        </is>
      </c>
      <c r="C70" s="27" t="inlineStr">
        <is>
          <t>CODIBOR-L, 20 L</t>
        </is>
      </c>
      <c r="D70" s="28" t="n">
        <v>20</v>
      </c>
      <c r="E70" s="27" t="inlineStr">
        <is>
          <t>Garrafas 20L</t>
        </is>
      </c>
      <c r="F70" s="29" t="inlineStr">
        <is>
          <t>AZERBAIYÁN</t>
        </is>
      </c>
      <c r="G70" s="30" t="inlineStr">
        <is>
          <t>Sobre Pedido (Export)</t>
        </is>
      </c>
      <c r="H70" s="31" t="n">
        <v>0</v>
      </c>
      <c r="I70" s="31" t="n">
        <v>0</v>
      </c>
      <c r="J70" s="31" t="n">
        <v>0</v>
      </c>
      <c r="K70" s="31" t="n">
        <v>0</v>
      </c>
      <c r="L70" s="31" t="n">
        <v>2000</v>
      </c>
      <c r="M70" s="32" t="n">
        <v>2000</v>
      </c>
      <c r="N70" s="32" t="n">
        <v>40000</v>
      </c>
      <c r="O70" s="32" t="n">
        <v>2000</v>
      </c>
      <c r="P70" s="32" t="n">
        <v>40000</v>
      </c>
      <c r="Q70" s="24" t="inlineStr">
        <is>
          <t>SOBRE PEDIDO (EXP)</t>
        </is>
      </c>
    </row>
    <row r="71" ht="19" customHeight="1">
      <c r="A71" s="18" t="inlineStr">
        <is>
          <t>AGXCR0020</t>
        </is>
      </c>
      <c r="B71" s="33" t="inlineStr">
        <is>
          <t>AGXCR0020CO</t>
        </is>
      </c>
      <c r="C71" s="20" t="inlineStr">
        <is>
          <t>AGROXILATO-K, (0-5-20), 20 LtS.</t>
        </is>
      </c>
      <c r="D71" s="21" t="n">
        <v>20</v>
      </c>
      <c r="E71" s="20" t="inlineStr">
        <is>
          <t>Garrafas 20L</t>
        </is>
      </c>
      <c r="F71" s="19" t="inlineStr">
        <is>
          <t>COLOMBIA</t>
        </is>
      </c>
      <c r="G71" s="34" t="inlineStr">
        <is>
          <t>Sobre Pedido (Export)</t>
        </is>
      </c>
      <c r="H71" s="22" t="n">
        <v>0</v>
      </c>
      <c r="I71" s="22" t="n">
        <v>2000</v>
      </c>
      <c r="J71" s="22" t="n">
        <v>0</v>
      </c>
      <c r="K71" s="22" t="n">
        <v>0</v>
      </c>
      <c r="L71" s="22" t="n">
        <v>0</v>
      </c>
      <c r="M71" s="23" t="n">
        <v>2000</v>
      </c>
      <c r="N71" s="23" t="n">
        <v>40000</v>
      </c>
      <c r="O71" s="23" t="n">
        <v>2000</v>
      </c>
      <c r="P71" s="23" t="n">
        <v>40000</v>
      </c>
      <c r="Q71" s="24" t="inlineStr">
        <is>
          <t>SOBRE PEDIDO (EXP)</t>
        </is>
      </c>
    </row>
    <row r="72" ht="19" customHeight="1">
      <c r="A72" s="25" t="inlineStr">
        <is>
          <t>FLOR0200</t>
        </is>
      </c>
      <c r="B72" s="29" t="inlineStr">
        <is>
          <t>FLOR0200</t>
        </is>
      </c>
      <c r="C72" s="27" t="inlineStr">
        <is>
          <t>FLORAMEC, 200 L</t>
        </is>
      </c>
      <c r="D72" s="28" t="n">
        <v>200</v>
      </c>
      <c r="E72" s="27" t="inlineStr">
        <is>
          <t>Depósito 200 L</t>
        </is>
      </c>
      <c r="F72" s="29" t="inlineStr">
        <is>
          <t>ESPAÑA</t>
        </is>
      </c>
      <c r="G72" s="29" t="inlineStr">
        <is>
          <t>Para Previsión (Nac)</t>
        </is>
      </c>
      <c r="H72" s="31" t="n">
        <v>0</v>
      </c>
      <c r="I72" s="31" t="n">
        <v>0</v>
      </c>
      <c r="J72" s="31" t="n">
        <v>200</v>
      </c>
      <c r="K72" s="31" t="n">
        <v>0</v>
      </c>
      <c r="L72" s="31" t="n">
        <v>0</v>
      </c>
      <c r="M72" s="32" t="n">
        <v>200</v>
      </c>
      <c r="N72" s="32" t="n">
        <v>40000</v>
      </c>
      <c r="O72" s="32" t="n">
        <v>200</v>
      </c>
      <c r="P72" s="32" t="n">
        <v>40000</v>
      </c>
      <c r="Q72" s="24" t="inlineStr">
        <is>
          <t>FABRICACIÓN URGENTE</t>
        </is>
      </c>
    </row>
    <row r="73" ht="19" customHeight="1">
      <c r="A73" s="18" t="inlineStr">
        <is>
          <t>SS0020</t>
        </is>
      </c>
      <c r="B73" s="33" t="inlineStr">
        <is>
          <t>SS0020MA</t>
        </is>
      </c>
      <c r="C73" s="20" t="inlineStr">
        <is>
          <t>SAL-WAX-Ca sólido, 20 KG</t>
        </is>
      </c>
      <c r="D73" s="21" t="n">
        <v>20</v>
      </c>
      <c r="E73" s="20" t="inlineStr">
        <is>
          <t>Garrafas 20L</t>
        </is>
      </c>
      <c r="F73" s="19" t="inlineStr">
        <is>
          <t>MARRUECOS</t>
        </is>
      </c>
      <c r="G73" s="34" t="inlineStr">
        <is>
          <t>Sobre Pedido (Export)</t>
        </is>
      </c>
      <c r="H73" s="22" t="n">
        <v>2100</v>
      </c>
      <c r="I73" s="22" t="n">
        <v>0</v>
      </c>
      <c r="J73" s="22" t="n">
        <v>2000</v>
      </c>
      <c r="K73" s="22" t="n">
        <v>0</v>
      </c>
      <c r="L73" s="22" t="n">
        <v>2000</v>
      </c>
      <c r="M73" s="23" t="n">
        <v>4000</v>
      </c>
      <c r="N73" s="23" t="n">
        <v>80000</v>
      </c>
      <c r="O73" s="23" t="n">
        <v>1900</v>
      </c>
      <c r="P73" s="23" t="n">
        <v>38000</v>
      </c>
      <c r="Q73" s="24" t="inlineStr">
        <is>
          <t>SOBRE PEDIDO (EXP)</t>
        </is>
      </c>
    </row>
    <row r="74" ht="19" customHeight="1">
      <c r="A74" s="25" t="inlineStr">
        <is>
          <t>AN0020</t>
        </is>
      </c>
      <c r="B74" s="26" t="inlineStr">
        <is>
          <t>AN0020LB</t>
        </is>
      </c>
      <c r="C74" s="27" t="inlineStr">
        <is>
          <t>ALCAPLANT NEW, 20 KG</t>
        </is>
      </c>
      <c r="D74" s="28" t="n">
        <v>20</v>
      </c>
      <c r="E74" s="27" t="inlineStr">
        <is>
          <t>Garrafas 20L</t>
        </is>
      </c>
      <c r="F74" s="29" t="inlineStr">
        <is>
          <t>LÍBANO</t>
        </is>
      </c>
      <c r="G74" s="30" t="inlineStr">
        <is>
          <t>Sobre Pedido (Export)</t>
        </is>
      </c>
      <c r="H74" s="31" t="n">
        <v>6180</v>
      </c>
      <c r="I74" s="31" t="n">
        <v>0</v>
      </c>
      <c r="J74" s="31" t="n">
        <v>0</v>
      </c>
      <c r="K74" s="31" t="n">
        <v>0</v>
      </c>
      <c r="L74" s="31" t="n">
        <v>7700</v>
      </c>
      <c r="M74" s="32" t="n">
        <v>7700</v>
      </c>
      <c r="N74" s="32" t="n">
        <v>154000</v>
      </c>
      <c r="O74" s="32" t="n">
        <v>1520</v>
      </c>
      <c r="P74" s="32" t="n">
        <v>30400</v>
      </c>
      <c r="Q74" s="24" t="inlineStr">
        <is>
          <t>SOBRE PEDIDO (EXP)</t>
        </is>
      </c>
    </row>
    <row r="75" ht="19" customHeight="1">
      <c r="A75" s="18" t="inlineStr">
        <is>
          <t>AN0005</t>
        </is>
      </c>
      <c r="B75" s="33" t="inlineStr">
        <is>
          <t>AN0005PA</t>
        </is>
      </c>
      <c r="C75" s="20" t="inlineStr">
        <is>
          <t>ALCAPLANT NEW, 5 KG</t>
        </is>
      </c>
      <c r="D75" s="21" t="n">
        <v>5</v>
      </c>
      <c r="E75" s="20" t="inlineStr">
        <is>
          <t>Garrafas 5L</t>
        </is>
      </c>
      <c r="F75" s="19" t="inlineStr">
        <is>
          <t>PANAMÁ</t>
        </is>
      </c>
      <c r="G75" s="34" t="inlineStr">
        <is>
          <t>Sobre Pedido (Export)</t>
        </is>
      </c>
      <c r="H75" s="22" t="n">
        <v>0</v>
      </c>
      <c r="I75" s="22" t="n">
        <v>0</v>
      </c>
      <c r="J75" s="22" t="n">
        <v>0</v>
      </c>
      <c r="K75" s="22" t="n">
        <v>0</v>
      </c>
      <c r="L75" s="22" t="n">
        <v>6000</v>
      </c>
      <c r="M75" s="23" t="n">
        <v>6000</v>
      </c>
      <c r="N75" s="23" t="n">
        <v>30000</v>
      </c>
      <c r="O75" s="23" t="n">
        <v>6000</v>
      </c>
      <c r="P75" s="23" t="n">
        <v>30000</v>
      </c>
      <c r="Q75" s="24" t="inlineStr">
        <is>
          <t>SOBRE PEDIDO (EXP)</t>
        </is>
      </c>
    </row>
    <row r="76" ht="19" customHeight="1">
      <c r="A76" s="25" t="inlineStr">
        <is>
          <t>FROST-P0020</t>
        </is>
      </c>
      <c r="B76" s="29" t="inlineStr">
        <is>
          <t>FROST-P0020</t>
        </is>
      </c>
      <c r="C76" s="27" t="inlineStr">
        <is>
          <t>CODIFROST PLUS, 20 L</t>
        </is>
      </c>
      <c r="D76" s="28" t="n">
        <v>20</v>
      </c>
      <c r="E76" s="27" t="inlineStr">
        <is>
          <t>Garrafas 20L</t>
        </is>
      </c>
      <c r="F76" s="29" t="inlineStr">
        <is>
          <t>ESPAÑA</t>
        </is>
      </c>
      <c r="G76" s="29" t="inlineStr">
        <is>
          <t>Para Previsión (Nac)</t>
        </is>
      </c>
      <c r="H76" s="31" t="n">
        <v>280</v>
      </c>
      <c r="I76" s="31" t="n">
        <v>0</v>
      </c>
      <c r="J76" s="31" t="n">
        <v>0</v>
      </c>
      <c r="K76" s="31" t="n">
        <v>1580</v>
      </c>
      <c r="L76" s="31" t="n">
        <v>200</v>
      </c>
      <c r="M76" s="32" t="n">
        <v>1780</v>
      </c>
      <c r="N76" s="32" t="n">
        <v>35600</v>
      </c>
      <c r="O76" s="32" t="n">
        <v>1500</v>
      </c>
      <c r="P76" s="32" t="n">
        <v>30000</v>
      </c>
      <c r="Q76" s="24" t="inlineStr">
        <is>
          <t>FABRICACIÓN URGENTE</t>
        </is>
      </c>
    </row>
    <row r="77" ht="19" customHeight="1">
      <c r="A77" s="18" t="inlineStr">
        <is>
          <t>JF0020</t>
        </is>
      </c>
      <c r="B77" s="19" t="inlineStr">
        <is>
          <t>JF0020</t>
        </is>
      </c>
      <c r="C77" s="20" t="inlineStr">
        <is>
          <t>DRAGO-FOS, 20 L</t>
        </is>
      </c>
      <c r="D77" s="21" t="n">
        <v>20</v>
      </c>
      <c r="E77" s="20" t="inlineStr">
        <is>
          <t>Garrafas 20L</t>
        </is>
      </c>
      <c r="F77" s="19" t="inlineStr">
        <is>
          <t>ESPAÑA</t>
        </is>
      </c>
      <c r="G77" s="19" t="inlineStr">
        <is>
          <t>Para Previsión (Nac)</t>
        </is>
      </c>
      <c r="H77" s="22" t="n">
        <v>1200</v>
      </c>
      <c r="I77" s="22" t="n">
        <v>0</v>
      </c>
      <c r="J77" s="22" t="n">
        <v>0</v>
      </c>
      <c r="K77" s="22" t="n">
        <v>2560</v>
      </c>
      <c r="L77" s="22" t="n">
        <v>0</v>
      </c>
      <c r="M77" s="23" t="n">
        <v>2560</v>
      </c>
      <c r="N77" s="23" t="n">
        <v>51200</v>
      </c>
      <c r="O77" s="23" t="n">
        <v>1360</v>
      </c>
      <c r="P77" s="23" t="n">
        <v>27200</v>
      </c>
      <c r="Q77" s="24" t="inlineStr">
        <is>
          <t>FABRICACIÓN URGENTE</t>
        </is>
      </c>
    </row>
    <row r="78" ht="19" customHeight="1">
      <c r="A78" s="25" t="inlineStr">
        <is>
          <t>AGMG0005</t>
        </is>
      </c>
      <c r="B78" s="26" t="inlineStr">
        <is>
          <t>AGMG0005LB</t>
        </is>
      </c>
      <c r="C78" s="27" t="inlineStr">
        <is>
          <t>AGROXILATO-MG, 5 KG (EXPORT)</t>
        </is>
      </c>
      <c r="D78" s="28" t="n">
        <v>5</v>
      </c>
      <c r="E78" s="27" t="inlineStr">
        <is>
          <t>Garrafas 5L</t>
        </is>
      </c>
      <c r="F78" s="29" t="inlineStr">
        <is>
          <t>LÍBANO</t>
        </is>
      </c>
      <c r="G78" s="30" t="inlineStr">
        <is>
          <t>Sobre Pedido (Export)</t>
        </is>
      </c>
      <c r="H78" s="31" t="n">
        <v>0</v>
      </c>
      <c r="I78" s="31" t="n">
        <v>0</v>
      </c>
      <c r="J78" s="31" t="n">
        <v>0</v>
      </c>
      <c r="K78" s="31" t="n">
        <v>0</v>
      </c>
      <c r="L78" s="31" t="n">
        <v>5000</v>
      </c>
      <c r="M78" s="32" t="n">
        <v>5000</v>
      </c>
      <c r="N78" s="32" t="n">
        <v>25000</v>
      </c>
      <c r="O78" s="32" t="n">
        <v>5000</v>
      </c>
      <c r="P78" s="32" t="n">
        <v>25000</v>
      </c>
      <c r="Q78" s="24" t="inlineStr">
        <is>
          <t>SOBRE PEDIDO (EXP)</t>
        </is>
      </c>
    </row>
    <row r="79" ht="19" customHeight="1">
      <c r="A79" s="18" t="inlineStr">
        <is>
          <t>SSEG0020</t>
        </is>
      </c>
      <c r="B79" s="19" t="inlineStr">
        <is>
          <t>SSEG0020</t>
        </is>
      </c>
      <c r="C79" s="20" t="inlineStr">
        <is>
          <t>SAL-WAX Ca</t>
        </is>
      </c>
      <c r="D79" s="21" t="n">
        <v>20</v>
      </c>
      <c r="E79" s="20" t="inlineStr">
        <is>
          <t>Garrafas 20L</t>
        </is>
      </c>
      <c r="F79" s="19" t="inlineStr">
        <is>
          <t>EXPORT</t>
        </is>
      </c>
      <c r="G79" s="34" t="inlineStr">
        <is>
          <t>Sobre Pedido (Export)</t>
        </is>
      </c>
      <c r="H79" s="22" t="n">
        <v>0</v>
      </c>
      <c r="I79" s="22" t="n">
        <v>1200</v>
      </c>
      <c r="J79" s="22" t="n">
        <v>0</v>
      </c>
      <c r="K79" s="22" t="n">
        <v>0</v>
      </c>
      <c r="L79" s="22" t="n">
        <v>0</v>
      </c>
      <c r="M79" s="23" t="n">
        <v>1200</v>
      </c>
      <c r="N79" s="23" t="n">
        <v>24000</v>
      </c>
      <c r="O79" s="23" t="n">
        <v>1200</v>
      </c>
      <c r="P79" s="23" t="n">
        <v>24000</v>
      </c>
      <c r="Q79" s="24" t="inlineStr">
        <is>
          <t>SOBRE PEDIDO (EXP)</t>
        </is>
      </c>
    </row>
    <row r="80" ht="19" customHeight="1">
      <c r="A80" s="25" t="inlineStr">
        <is>
          <t>AN0020</t>
        </is>
      </c>
      <c r="B80" s="26" t="inlineStr">
        <is>
          <t>AN0020RO</t>
        </is>
      </c>
      <c r="C80" s="27" t="inlineStr">
        <is>
          <t>ALCAPLANT NEW, 20 KG</t>
        </is>
      </c>
      <c r="D80" s="28" t="n">
        <v>20</v>
      </c>
      <c r="E80" s="27" t="inlineStr">
        <is>
          <t>Garrafas 20L</t>
        </is>
      </c>
      <c r="F80" s="29" t="inlineStr">
        <is>
          <t>RUMANÍA</t>
        </is>
      </c>
      <c r="G80" s="30" t="inlineStr">
        <is>
          <t>Sobre Pedido (Export)</t>
        </is>
      </c>
      <c r="H80" s="31" t="n">
        <v>0</v>
      </c>
      <c r="I80" s="31" t="n">
        <v>0</v>
      </c>
      <c r="J80" s="31" t="n">
        <v>0</v>
      </c>
      <c r="K80" s="31" t="n">
        <v>1100</v>
      </c>
      <c r="L80" s="31" t="n">
        <v>0</v>
      </c>
      <c r="M80" s="32" t="n">
        <v>1100</v>
      </c>
      <c r="N80" s="32" t="n">
        <v>22000</v>
      </c>
      <c r="O80" s="32" t="n">
        <v>1100</v>
      </c>
      <c r="P80" s="32" t="n">
        <v>22000</v>
      </c>
      <c r="Q80" s="24" t="inlineStr">
        <is>
          <t>SOBRE PEDIDO (EXP)</t>
        </is>
      </c>
    </row>
    <row r="81" ht="19" customHeight="1">
      <c r="A81" s="18" t="inlineStr">
        <is>
          <t>AN0020</t>
        </is>
      </c>
      <c r="B81" s="33" t="inlineStr">
        <is>
          <t>AN0020PE</t>
        </is>
      </c>
      <c r="C81" s="20" t="inlineStr">
        <is>
          <t>ALCAPLANT NEW, 20 KG</t>
        </is>
      </c>
      <c r="D81" s="21" t="n">
        <v>20</v>
      </c>
      <c r="E81" s="20" t="inlineStr">
        <is>
          <t>Garrafas 20L</t>
        </is>
      </c>
      <c r="F81" s="19" t="inlineStr">
        <is>
          <t>PERÚ</t>
        </is>
      </c>
      <c r="G81" s="34" t="inlineStr">
        <is>
          <t>Sobre Pedido (Export)</t>
        </is>
      </c>
      <c r="H81" s="22" t="n">
        <v>0</v>
      </c>
      <c r="I81" s="22" t="n">
        <v>1100</v>
      </c>
      <c r="J81" s="22" t="n">
        <v>0</v>
      </c>
      <c r="K81" s="22" t="n">
        <v>0</v>
      </c>
      <c r="L81" s="22" t="n">
        <v>0</v>
      </c>
      <c r="M81" s="23" t="n">
        <v>1100</v>
      </c>
      <c r="N81" s="23" t="n">
        <v>22000</v>
      </c>
      <c r="O81" s="23" t="n">
        <v>1100</v>
      </c>
      <c r="P81" s="23" t="n">
        <v>22000</v>
      </c>
      <c r="Q81" s="24" t="inlineStr">
        <is>
          <t>SOBRE PEDIDO (EXP)</t>
        </is>
      </c>
    </row>
    <row r="82" ht="19" customHeight="1">
      <c r="A82" s="25" t="inlineStr">
        <is>
          <t>AN0005</t>
        </is>
      </c>
      <c r="B82" s="26" t="inlineStr">
        <is>
          <t>AN0005EC</t>
        </is>
      </c>
      <c r="C82" s="27" t="inlineStr">
        <is>
          <t>ALCAPLANT NEW, 5 KG</t>
        </is>
      </c>
      <c r="D82" s="28" t="n">
        <v>5</v>
      </c>
      <c r="E82" s="27" t="inlineStr">
        <is>
          <t>Garrafas 5L</t>
        </is>
      </c>
      <c r="F82" s="29" t="inlineStr">
        <is>
          <t>ECUADOR (INCLUIDAS LAS ISLAS GALÁPAGOS)</t>
        </is>
      </c>
      <c r="G82" s="30" t="inlineStr">
        <is>
          <t>Sobre Pedido (Export)</t>
        </is>
      </c>
      <c r="H82" s="31" t="n">
        <v>0</v>
      </c>
      <c r="I82" s="31" t="n">
        <v>0</v>
      </c>
      <c r="J82" s="31" t="n">
        <v>4400</v>
      </c>
      <c r="K82" s="31" t="n">
        <v>0</v>
      </c>
      <c r="L82" s="31" t="n">
        <v>0</v>
      </c>
      <c r="M82" s="32" t="n">
        <v>4400</v>
      </c>
      <c r="N82" s="32" t="n">
        <v>22000</v>
      </c>
      <c r="O82" s="32" t="n">
        <v>4400</v>
      </c>
      <c r="P82" s="32" t="n">
        <v>22000</v>
      </c>
      <c r="Q82" s="24" t="inlineStr">
        <is>
          <t>SOBRE PEDIDO (EXP)</t>
        </is>
      </c>
    </row>
    <row r="83" ht="19" customHeight="1">
      <c r="A83" s="18" t="inlineStr">
        <is>
          <t>SS0005</t>
        </is>
      </c>
      <c r="B83" s="33" t="inlineStr">
        <is>
          <t>SS0005MX</t>
        </is>
      </c>
      <c r="C83" s="20" t="inlineStr">
        <is>
          <t>SALWAX-CA, 5 KG</t>
        </is>
      </c>
      <c r="D83" s="21" t="n">
        <v>5</v>
      </c>
      <c r="E83" s="20" t="inlineStr">
        <is>
          <t>Garrafas 5L</t>
        </is>
      </c>
      <c r="F83" s="19" t="inlineStr">
        <is>
          <t>NETHERLANS</t>
        </is>
      </c>
      <c r="G83" s="34" t="inlineStr">
        <is>
          <t>Sobre Pedido (Export)</t>
        </is>
      </c>
      <c r="H83" s="22" t="n">
        <v>0</v>
      </c>
      <c r="I83" s="22" t="n">
        <v>0</v>
      </c>
      <c r="J83" s="22" t="n">
        <v>0</v>
      </c>
      <c r="K83" s="22" t="n">
        <v>4000</v>
      </c>
      <c r="L83" s="22" t="n">
        <v>0</v>
      </c>
      <c r="M83" s="23" t="n">
        <v>4000</v>
      </c>
      <c r="N83" s="23" t="n">
        <v>20000</v>
      </c>
      <c r="O83" s="23" t="n">
        <v>4000</v>
      </c>
      <c r="P83" s="23" t="n">
        <v>20000</v>
      </c>
      <c r="Q83" s="24" t="inlineStr">
        <is>
          <t>SOBRE PEDIDO (EXP)</t>
        </is>
      </c>
    </row>
    <row r="84" ht="19" customHeight="1">
      <c r="A84" s="25" t="inlineStr">
        <is>
          <t>GRE10005</t>
        </is>
      </c>
      <c r="B84" s="26" t="inlineStr">
        <is>
          <t>GRE10005GR</t>
        </is>
      </c>
      <c r="C84" s="27" t="inlineStr">
        <is>
          <t>TONAZ</t>
        </is>
      </c>
      <c r="D84" s="28" t="n">
        <v>5</v>
      </c>
      <c r="E84" s="27" t="inlineStr">
        <is>
          <t>Garrafas 5L</t>
        </is>
      </c>
      <c r="F84" s="29" t="inlineStr">
        <is>
          <t>GRECIA</t>
        </is>
      </c>
      <c r="G84" s="30" t="inlineStr">
        <is>
          <t>Sobre Pedido (Export)</t>
        </is>
      </c>
      <c r="H84" s="31" t="n">
        <v>0</v>
      </c>
      <c r="I84" s="31" t="n">
        <v>0</v>
      </c>
      <c r="J84" s="31" t="n">
        <v>0</v>
      </c>
      <c r="K84" s="31" t="n">
        <v>0</v>
      </c>
      <c r="L84" s="31" t="n">
        <v>4000</v>
      </c>
      <c r="M84" s="32" t="n">
        <v>4000</v>
      </c>
      <c r="N84" s="32" t="n">
        <v>20000</v>
      </c>
      <c r="O84" s="32" t="n">
        <v>4000</v>
      </c>
      <c r="P84" s="32" t="n">
        <v>20000</v>
      </c>
      <c r="Q84" s="24" t="inlineStr">
        <is>
          <t>SOBRE PEDIDO (EXP)</t>
        </is>
      </c>
    </row>
    <row r="85" ht="19" customHeight="1">
      <c r="A85" s="18" t="inlineStr">
        <is>
          <t>F-MIX0020</t>
        </is>
      </c>
      <c r="B85" s="33" t="inlineStr">
        <is>
          <t>F-MIX0020MA</t>
        </is>
      </c>
      <c r="C85" s="20" t="inlineStr">
        <is>
          <t>FITOLIN-MIX, 20 L</t>
        </is>
      </c>
      <c r="D85" s="21" t="n">
        <v>20</v>
      </c>
      <c r="E85" s="20" t="inlineStr">
        <is>
          <t>Garrafas 20L</t>
        </is>
      </c>
      <c r="F85" s="19" t="inlineStr">
        <is>
          <t>MARRUECOS</t>
        </is>
      </c>
      <c r="G85" s="34" t="inlineStr">
        <is>
          <t>Sobre Pedido (Export)</t>
        </is>
      </c>
      <c r="H85" s="22" t="n">
        <v>0</v>
      </c>
      <c r="I85" s="22" t="n">
        <v>0</v>
      </c>
      <c r="J85" s="22" t="n">
        <v>0</v>
      </c>
      <c r="K85" s="22" t="n">
        <v>1000</v>
      </c>
      <c r="L85" s="22" t="n">
        <v>0</v>
      </c>
      <c r="M85" s="23" t="n">
        <v>1000</v>
      </c>
      <c r="N85" s="23" t="n">
        <v>20000</v>
      </c>
      <c r="O85" s="23" t="n">
        <v>1000</v>
      </c>
      <c r="P85" s="23" t="n">
        <v>20000</v>
      </c>
      <c r="Q85" s="24" t="inlineStr">
        <is>
          <t>SOBRE PEDIDO (EXP)</t>
        </is>
      </c>
    </row>
    <row r="86" ht="19" customHeight="1">
      <c r="A86" s="25" t="inlineStr">
        <is>
          <t>A-500020</t>
        </is>
      </c>
      <c r="B86" s="26" t="inlineStr">
        <is>
          <t>A-500020CR</t>
        </is>
      </c>
      <c r="C86" s="27" t="inlineStr">
        <is>
          <t>CODIORGAN  A-50</t>
        </is>
      </c>
      <c r="D86" s="28" t="n">
        <v>20</v>
      </c>
      <c r="E86" s="27" t="inlineStr">
        <is>
          <t>Garrafas 20L</t>
        </is>
      </c>
      <c r="F86" s="29" t="inlineStr">
        <is>
          <t>COSTA RICA</t>
        </is>
      </c>
      <c r="G86" s="30" t="inlineStr">
        <is>
          <t>Sobre Pedido (Export)</t>
        </is>
      </c>
      <c r="H86" s="31" t="n">
        <v>0</v>
      </c>
      <c r="I86" s="31" t="n">
        <v>0</v>
      </c>
      <c r="J86" s="31" t="n">
        <v>0</v>
      </c>
      <c r="K86" s="31" t="n">
        <v>1000</v>
      </c>
      <c r="L86" s="31" t="n">
        <v>0</v>
      </c>
      <c r="M86" s="32" t="n">
        <v>1000</v>
      </c>
      <c r="N86" s="32" t="n">
        <v>20000</v>
      </c>
      <c r="O86" s="32" t="n">
        <v>1000</v>
      </c>
      <c r="P86" s="32" t="n">
        <v>20000</v>
      </c>
      <c r="Q86" s="24" t="inlineStr">
        <is>
          <t>SOBRE PEDIDO (EXP)</t>
        </is>
      </c>
    </row>
    <row r="87" ht="19" customHeight="1">
      <c r="A87" s="18" t="inlineStr">
        <is>
          <t>G30020</t>
        </is>
      </c>
      <c r="B87" s="19" t="inlineStr">
        <is>
          <t>G30020</t>
        </is>
      </c>
      <c r="C87" s="20" t="inlineStr">
        <is>
          <t>GREEN-UP, 20 L</t>
        </is>
      </c>
      <c r="D87" s="21" t="n">
        <v>20</v>
      </c>
      <c r="E87" s="20" t="inlineStr">
        <is>
          <t>Garrafas 20L</t>
        </is>
      </c>
      <c r="F87" s="19" t="inlineStr">
        <is>
          <t>ESPAÑA</t>
        </is>
      </c>
      <c r="G87" s="19" t="inlineStr">
        <is>
          <t>Para Previsión (Nac)</t>
        </is>
      </c>
      <c r="H87" s="22" t="n">
        <v>1720</v>
      </c>
      <c r="I87" s="22" t="n">
        <v>0</v>
      </c>
      <c r="J87" s="22" t="n">
        <v>1280</v>
      </c>
      <c r="K87" s="22" t="n">
        <v>1280</v>
      </c>
      <c r="L87" s="22" t="n">
        <v>0</v>
      </c>
      <c r="M87" s="23" t="n">
        <v>2560</v>
      </c>
      <c r="N87" s="23" t="n">
        <v>51200</v>
      </c>
      <c r="O87" s="23" t="n">
        <v>840</v>
      </c>
      <c r="P87" s="23" t="n">
        <v>16800</v>
      </c>
      <c r="Q87" s="24" t="inlineStr">
        <is>
          <t>FABRICACIÓN URGENTE</t>
        </is>
      </c>
    </row>
    <row r="88" ht="19" customHeight="1">
      <c r="A88" s="25" t="inlineStr">
        <is>
          <t>AN0005</t>
        </is>
      </c>
      <c r="B88" s="26" t="inlineStr">
        <is>
          <t>AN0005DO</t>
        </is>
      </c>
      <c r="C88" s="27" t="inlineStr">
        <is>
          <t>ALCAPLANT NEW, 5 KG</t>
        </is>
      </c>
      <c r="D88" s="28" t="n">
        <v>5</v>
      </c>
      <c r="E88" s="27" t="inlineStr">
        <is>
          <t>Garrafas 5L</t>
        </is>
      </c>
      <c r="F88" s="29" t="inlineStr">
        <is>
          <t>DOMINICANA, REPÚBLICA</t>
        </is>
      </c>
      <c r="G88" s="30" t="inlineStr">
        <is>
          <t>Sobre Pedido (Export)</t>
        </is>
      </c>
      <c r="H88" s="31" t="n">
        <v>0</v>
      </c>
      <c r="I88" s="31" t="n">
        <v>0</v>
      </c>
      <c r="J88" s="31" t="n">
        <v>0</v>
      </c>
      <c r="K88" s="31" t="n">
        <v>3300</v>
      </c>
      <c r="L88" s="31" t="n">
        <v>0</v>
      </c>
      <c r="M88" s="32" t="n">
        <v>3300</v>
      </c>
      <c r="N88" s="32" t="n">
        <v>16500</v>
      </c>
      <c r="O88" s="32" t="n">
        <v>3300</v>
      </c>
      <c r="P88" s="32" t="n">
        <v>16500</v>
      </c>
      <c r="Q88" s="24" t="inlineStr">
        <is>
          <t>SOBRE PEDIDO (EXP)</t>
        </is>
      </c>
    </row>
    <row r="89" ht="19" customHeight="1">
      <c r="A89" s="18" t="inlineStr">
        <is>
          <t>DECA0005</t>
        </is>
      </c>
      <c r="B89" s="33" t="inlineStr">
        <is>
          <t>DECA0005CR</t>
        </is>
      </c>
      <c r="C89" s="20" t="inlineStr">
        <is>
          <t>DEFENS-CA-AE</t>
        </is>
      </c>
      <c r="D89" s="21" t="n">
        <v>5</v>
      </c>
      <c r="E89" s="20" t="inlineStr">
        <is>
          <t>Garrafas 5L</t>
        </is>
      </c>
      <c r="F89" s="19" t="inlineStr">
        <is>
          <t>COSTA RICA</t>
        </is>
      </c>
      <c r="G89" s="34" t="inlineStr">
        <is>
          <t>Sobre Pedido (Export)</t>
        </is>
      </c>
      <c r="H89" s="22" t="n">
        <v>10</v>
      </c>
      <c r="I89" s="22" t="n">
        <v>0</v>
      </c>
      <c r="J89" s="22" t="n">
        <v>1100</v>
      </c>
      <c r="K89" s="22" t="n">
        <v>1100</v>
      </c>
      <c r="L89" s="22" t="n">
        <v>1100</v>
      </c>
      <c r="M89" s="23" t="n">
        <v>3300</v>
      </c>
      <c r="N89" s="23" t="n">
        <v>16500</v>
      </c>
      <c r="O89" s="23" t="n">
        <v>3290</v>
      </c>
      <c r="P89" s="23" t="n">
        <v>16450</v>
      </c>
      <c r="Q89" s="24" t="inlineStr">
        <is>
          <t>SOBRE PEDIDO (EXP)</t>
        </is>
      </c>
    </row>
    <row r="90" ht="19" customHeight="1">
      <c r="A90" s="25" t="inlineStr">
        <is>
          <t>AGMG0020</t>
        </is>
      </c>
      <c r="B90" s="26" t="inlineStr">
        <is>
          <t>AGMG0020CR</t>
        </is>
      </c>
      <c r="C90" s="27" t="inlineStr">
        <is>
          <t>AGROXILATO MG, 20 KG (EXPORT)</t>
        </is>
      </c>
      <c r="D90" s="28" t="n">
        <v>20</v>
      </c>
      <c r="E90" s="27" t="inlineStr">
        <is>
          <t>Garrafas 20L</t>
        </is>
      </c>
      <c r="F90" s="29" t="inlineStr">
        <is>
          <t>COSTA RICA</t>
        </is>
      </c>
      <c r="G90" s="30" t="inlineStr">
        <is>
          <t>Sobre Pedido (Export)</t>
        </is>
      </c>
      <c r="H90" s="31" t="n">
        <v>0</v>
      </c>
      <c r="I90" s="31" t="n">
        <v>0</v>
      </c>
      <c r="J90" s="31" t="n">
        <v>0</v>
      </c>
      <c r="K90" s="31" t="n">
        <v>800</v>
      </c>
      <c r="L90" s="31" t="n">
        <v>0</v>
      </c>
      <c r="M90" s="32" t="n">
        <v>800</v>
      </c>
      <c r="N90" s="32" t="n">
        <v>16000</v>
      </c>
      <c r="O90" s="32" t="n">
        <v>800</v>
      </c>
      <c r="P90" s="32" t="n">
        <v>16000</v>
      </c>
      <c r="Q90" s="24" t="inlineStr">
        <is>
          <t>SOBRE PEDIDO (EXP)</t>
        </is>
      </c>
    </row>
    <row r="91" ht="19" customHeight="1">
      <c r="A91" s="18" t="inlineStr">
        <is>
          <t>AVAN0005</t>
        </is>
      </c>
      <c r="B91" s="33" t="inlineStr">
        <is>
          <t>AVAN0005AZ</t>
        </is>
      </c>
      <c r="C91" s="20" t="inlineStr">
        <is>
          <t>FLORAMEC AVANCE, 5 L</t>
        </is>
      </c>
      <c r="D91" s="21" t="n">
        <v>5</v>
      </c>
      <c r="E91" s="20" t="inlineStr">
        <is>
          <t>Garrafas 5L</t>
        </is>
      </c>
      <c r="F91" s="19" t="inlineStr">
        <is>
          <t>AZERBAIYÁN</t>
        </is>
      </c>
      <c r="G91" s="34" t="inlineStr">
        <is>
          <t>Sobre Pedido (Export)</t>
        </is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3000</v>
      </c>
      <c r="M91" s="23" t="n">
        <v>3000</v>
      </c>
      <c r="N91" s="23" t="n">
        <v>15000</v>
      </c>
      <c r="O91" s="23" t="n">
        <v>3000</v>
      </c>
      <c r="P91" s="23" t="n">
        <v>15000</v>
      </c>
      <c r="Q91" s="24" t="inlineStr">
        <is>
          <t>SOBRE PEDIDO (EXP)</t>
        </is>
      </c>
    </row>
    <row r="92" ht="19" customHeight="1">
      <c r="A92" s="25" t="inlineStr">
        <is>
          <t>SPCE2B0001</t>
        </is>
      </c>
      <c r="B92" s="26" t="inlineStr">
        <is>
          <t>SPCE2B0001EG</t>
        </is>
      </c>
      <c r="C92" s="27" t="inlineStr">
        <is>
          <t>SPRINTENE CON BORO, 1 L</t>
        </is>
      </c>
      <c r="D92" s="28" t="n">
        <v>1</v>
      </c>
      <c r="E92" s="27" t="inlineStr">
        <is>
          <t>Botellas 1L</t>
        </is>
      </c>
      <c r="F92" s="29" t="inlineStr">
        <is>
          <t>EGIPTO</t>
        </is>
      </c>
      <c r="G92" s="30" t="inlineStr">
        <is>
          <t>Sobre Pedido (Export)</t>
        </is>
      </c>
      <c r="H92" s="31" t="n">
        <v>168</v>
      </c>
      <c r="I92" s="31" t="n">
        <v>0</v>
      </c>
      <c r="J92" s="31" t="n">
        <v>5000</v>
      </c>
      <c r="K92" s="31" t="n">
        <v>10000</v>
      </c>
      <c r="L92" s="31" t="n">
        <v>0</v>
      </c>
      <c r="M92" s="32" t="n">
        <v>15000</v>
      </c>
      <c r="N92" s="32" t="n">
        <v>15000</v>
      </c>
      <c r="O92" s="32" t="n">
        <v>14832</v>
      </c>
      <c r="P92" s="32" t="n">
        <v>14832</v>
      </c>
      <c r="Q92" s="24" t="inlineStr">
        <is>
          <t>SOBRE PEDIDO (EXP)</t>
        </is>
      </c>
    </row>
    <row r="93" ht="19" customHeight="1">
      <c r="A93" s="18" t="inlineStr">
        <is>
          <t>PREZN0005</t>
        </is>
      </c>
      <c r="B93" s="19" t="inlineStr">
        <is>
          <t>PREZN0005</t>
        </is>
      </c>
      <c r="C93" s="20" t="inlineStr">
        <is>
          <t>PREZINC, 5 kg</t>
        </is>
      </c>
      <c r="D93" s="21" t="n">
        <v>5</v>
      </c>
      <c r="E93" s="20" t="inlineStr">
        <is>
          <t>Garrafas 5L</t>
        </is>
      </c>
      <c r="F93" s="19" t="inlineStr">
        <is>
          <t>ESPAÑA</t>
        </is>
      </c>
      <c r="G93" s="19" t="inlineStr">
        <is>
          <t>Para Previsión (Nac)</t>
        </is>
      </c>
      <c r="H93" s="22" t="n">
        <v>160</v>
      </c>
      <c r="I93" s="22" t="n">
        <v>0</v>
      </c>
      <c r="J93" s="22" t="n">
        <v>0</v>
      </c>
      <c r="K93" s="22" t="n">
        <v>0</v>
      </c>
      <c r="L93" s="22" t="n">
        <v>3000</v>
      </c>
      <c r="M93" s="23" t="n">
        <v>3000</v>
      </c>
      <c r="N93" s="23" t="n">
        <v>15000</v>
      </c>
      <c r="O93" s="23" t="n">
        <v>2840</v>
      </c>
      <c r="P93" s="23" t="n">
        <v>14200</v>
      </c>
      <c r="Q93" s="24" t="inlineStr">
        <is>
          <t>FABRICACIÓN URGENTE</t>
        </is>
      </c>
    </row>
    <row r="94" ht="19" customHeight="1">
      <c r="A94" s="25" t="inlineStr">
        <is>
          <t>AN0005</t>
        </is>
      </c>
      <c r="B94" s="26" t="inlineStr">
        <is>
          <t>AN0005MA</t>
        </is>
      </c>
      <c r="C94" s="27" t="inlineStr">
        <is>
          <t>ALCAPLANT NEW, 5 KG</t>
        </is>
      </c>
      <c r="D94" s="28" t="n">
        <v>5</v>
      </c>
      <c r="E94" s="27" t="inlineStr">
        <is>
          <t>Garrafas 5L</t>
        </is>
      </c>
      <c r="F94" s="29" t="inlineStr">
        <is>
          <t>MARRUECOS</t>
        </is>
      </c>
      <c r="G94" s="30" t="inlineStr">
        <is>
          <t>Sobre Pedido (Export)</t>
        </is>
      </c>
      <c r="H94" s="31" t="n">
        <v>200</v>
      </c>
      <c r="I94" s="31" t="n">
        <v>0</v>
      </c>
      <c r="J94" s="31" t="n">
        <v>3000</v>
      </c>
      <c r="K94" s="31" t="n">
        <v>0</v>
      </c>
      <c r="L94" s="31" t="n">
        <v>0</v>
      </c>
      <c r="M94" s="32" t="n">
        <v>3000</v>
      </c>
      <c r="N94" s="32" t="n">
        <v>15000</v>
      </c>
      <c r="O94" s="32" t="n">
        <v>2800</v>
      </c>
      <c r="P94" s="32" t="n">
        <v>14000</v>
      </c>
      <c r="Q94" s="24" t="inlineStr">
        <is>
          <t>SOBRE PEDIDO (EXP)</t>
        </is>
      </c>
    </row>
    <row r="95" ht="19" customHeight="1">
      <c r="A95" s="18" t="inlineStr">
        <is>
          <t>C-L0005</t>
        </is>
      </c>
      <c r="B95" s="33" t="inlineStr">
        <is>
          <t>C-L0005AZ</t>
        </is>
      </c>
      <c r="C95" s="20" t="inlineStr">
        <is>
          <t>CODIBOR-L, 5 L</t>
        </is>
      </c>
      <c r="D95" s="21" t="n">
        <v>5</v>
      </c>
      <c r="E95" s="20" t="inlineStr">
        <is>
          <t>Garrafas 5L</t>
        </is>
      </c>
      <c r="F95" s="19" t="inlineStr">
        <is>
          <t>AZERBAIYÁN</t>
        </is>
      </c>
      <c r="G95" s="34" t="inlineStr">
        <is>
          <t>Sobre Pedido (Export)</t>
        </is>
      </c>
      <c r="H95" s="22" t="n">
        <v>340</v>
      </c>
      <c r="I95" s="22" t="n">
        <v>0</v>
      </c>
      <c r="J95" s="22" t="n">
        <v>0</v>
      </c>
      <c r="K95" s="22" t="n">
        <v>0</v>
      </c>
      <c r="L95" s="22" t="n">
        <v>3000</v>
      </c>
      <c r="M95" s="23" t="n">
        <v>3000</v>
      </c>
      <c r="N95" s="23" t="n">
        <v>15000</v>
      </c>
      <c r="O95" s="23" t="n">
        <v>2660</v>
      </c>
      <c r="P95" s="23" t="n">
        <v>13300</v>
      </c>
      <c r="Q95" s="24" t="inlineStr">
        <is>
          <t>SOBRE PEDIDO (EXP)</t>
        </is>
      </c>
    </row>
    <row r="96" ht="19" customHeight="1">
      <c r="A96" s="25" t="inlineStr">
        <is>
          <t>AGXCR0020</t>
        </is>
      </c>
      <c r="B96" s="26" t="inlineStr">
        <is>
          <t>AGXCR0020RO</t>
        </is>
      </c>
      <c r="C96" s="27" t="inlineStr">
        <is>
          <t>AGROXILATO-K, (0-5-20), 20 LtS.</t>
        </is>
      </c>
      <c r="D96" s="28" t="n">
        <v>20</v>
      </c>
      <c r="E96" s="27" t="inlineStr">
        <is>
          <t>Garrafas 20L</t>
        </is>
      </c>
      <c r="F96" s="29" t="inlineStr">
        <is>
          <t>RUMANÍA</t>
        </is>
      </c>
      <c r="G96" s="30" t="inlineStr">
        <is>
          <t>Sobre Pedido (Export)</t>
        </is>
      </c>
      <c r="H96" s="31" t="n">
        <v>0</v>
      </c>
      <c r="I96" s="31" t="n">
        <v>0</v>
      </c>
      <c r="J96" s="31" t="n">
        <v>0</v>
      </c>
      <c r="K96" s="31" t="n">
        <v>640</v>
      </c>
      <c r="L96" s="31" t="n">
        <v>0</v>
      </c>
      <c r="M96" s="32" t="n">
        <v>640</v>
      </c>
      <c r="N96" s="32" t="n">
        <v>12800</v>
      </c>
      <c r="O96" s="32" t="n">
        <v>640</v>
      </c>
      <c r="P96" s="32" t="n">
        <v>12800</v>
      </c>
      <c r="Q96" s="24" t="inlineStr">
        <is>
          <t>SOBRE PEDIDO (EXP)</t>
        </is>
      </c>
    </row>
    <row r="97" ht="19" customHeight="1">
      <c r="A97" s="18" t="inlineStr">
        <is>
          <t>B0020RORU</t>
        </is>
      </c>
      <c r="B97" s="19" t="inlineStr">
        <is>
          <t>B0020RORU</t>
        </is>
      </c>
      <c r="C97" s="20" t="inlineStr">
        <is>
          <t>BOROCAL</t>
        </is>
      </c>
      <c r="D97" s="21" t="n">
        <v>20</v>
      </c>
      <c r="E97" s="20" t="inlineStr">
        <is>
          <t>Garrafas 20L</t>
        </is>
      </c>
      <c r="F97" s="19" t="inlineStr">
        <is>
          <t>RUMANÍA</t>
        </is>
      </c>
      <c r="G97" s="34" t="inlineStr">
        <is>
          <t>Sobre Pedido (Export)</t>
        </is>
      </c>
      <c r="H97" s="22" t="n">
        <v>0</v>
      </c>
      <c r="I97" s="22" t="n">
        <v>0</v>
      </c>
      <c r="J97" s="22" t="n">
        <v>0</v>
      </c>
      <c r="K97" s="22" t="n">
        <v>640</v>
      </c>
      <c r="L97" s="22" t="n">
        <v>0</v>
      </c>
      <c r="M97" s="23" t="n">
        <v>640</v>
      </c>
      <c r="N97" s="23" t="n">
        <v>12800</v>
      </c>
      <c r="O97" s="23" t="n">
        <v>640</v>
      </c>
      <c r="P97" s="23" t="n">
        <v>12800</v>
      </c>
      <c r="Q97" s="24" t="inlineStr">
        <is>
          <t>SOBRE PEDIDO (EXP)</t>
        </is>
      </c>
    </row>
    <row r="98" ht="19" customHeight="1">
      <c r="A98" s="25" t="inlineStr">
        <is>
          <t>PK500020</t>
        </is>
      </c>
      <c r="B98" s="26" t="inlineStr">
        <is>
          <t>PK500020RO</t>
        </is>
      </c>
      <c r="C98" s="27" t="inlineStr">
        <is>
          <t>POLIFRUIT K50</t>
        </is>
      </c>
      <c r="D98" s="28" t="n">
        <v>20</v>
      </c>
      <c r="E98" s="27" t="inlineStr">
        <is>
          <t>Garrafas 20L</t>
        </is>
      </c>
      <c r="F98" s="29" t="inlineStr">
        <is>
          <t>RUMANÍA</t>
        </is>
      </c>
      <c r="G98" s="30" t="inlineStr">
        <is>
          <t>Sobre Pedido (Export)</t>
        </is>
      </c>
      <c r="H98" s="31" t="n">
        <v>0</v>
      </c>
      <c r="I98" s="31" t="n">
        <v>0</v>
      </c>
      <c r="J98" s="31" t="n">
        <v>0</v>
      </c>
      <c r="K98" s="31" t="n">
        <v>640</v>
      </c>
      <c r="L98" s="31" t="n">
        <v>0</v>
      </c>
      <c r="M98" s="32" t="n">
        <v>640</v>
      </c>
      <c r="N98" s="32" t="n">
        <v>12800</v>
      </c>
      <c r="O98" s="32" t="n">
        <v>640</v>
      </c>
      <c r="P98" s="32" t="n">
        <v>12800</v>
      </c>
      <c r="Q98" s="24" t="inlineStr">
        <is>
          <t>SOBRE PEDIDO (EXP)</t>
        </is>
      </c>
    </row>
    <row r="99" ht="19" customHeight="1">
      <c r="A99" s="18" t="inlineStr">
        <is>
          <t>PT0020</t>
        </is>
      </c>
      <c r="B99" s="33" t="inlineStr">
        <is>
          <t>PT0020RO</t>
        </is>
      </c>
      <c r="C99" s="20" t="inlineStr">
        <is>
          <t>AGROPOTASION, 20 L</t>
        </is>
      </c>
      <c r="D99" s="21" t="n">
        <v>20</v>
      </c>
      <c r="E99" s="20" t="inlineStr">
        <is>
          <t>Garrafas 20L</t>
        </is>
      </c>
      <c r="F99" s="19" t="inlineStr">
        <is>
          <t>RUMANÍA</t>
        </is>
      </c>
      <c r="G99" s="34" t="inlineStr">
        <is>
          <t>Sobre Pedido (Export)</t>
        </is>
      </c>
      <c r="H99" s="22" t="n">
        <v>0</v>
      </c>
      <c r="I99" s="22" t="n">
        <v>0</v>
      </c>
      <c r="J99" s="22" t="n">
        <v>0</v>
      </c>
      <c r="K99" s="22" t="n">
        <v>600</v>
      </c>
      <c r="L99" s="22" t="n">
        <v>0</v>
      </c>
      <c r="M99" s="23" t="n">
        <v>600</v>
      </c>
      <c r="N99" s="23" t="n">
        <v>12000</v>
      </c>
      <c r="O99" s="23" t="n">
        <v>600</v>
      </c>
      <c r="P99" s="23" t="n">
        <v>12000</v>
      </c>
      <c r="Q99" s="24" t="inlineStr">
        <is>
          <t>SOBRE PEDIDO (EXP)</t>
        </is>
      </c>
    </row>
    <row r="100" ht="19" customHeight="1">
      <c r="A100" s="25" t="inlineStr">
        <is>
          <t>SS0020</t>
        </is>
      </c>
      <c r="B100" s="26" t="inlineStr">
        <is>
          <t>SS0020RO</t>
        </is>
      </c>
      <c r="C100" s="27" t="inlineStr">
        <is>
          <t>SAL-WAX-Ca sólido, 20 KG</t>
        </is>
      </c>
      <c r="D100" s="28" t="n">
        <v>20</v>
      </c>
      <c r="E100" s="27" t="inlineStr">
        <is>
          <t>Garrafas 20L</t>
        </is>
      </c>
      <c r="F100" s="29" t="inlineStr">
        <is>
          <t>RUMANÍA</t>
        </is>
      </c>
      <c r="G100" s="30" t="inlineStr">
        <is>
          <t>Sobre Pedido (Export)</t>
        </is>
      </c>
      <c r="H100" s="31" t="n">
        <v>0</v>
      </c>
      <c r="I100" s="31" t="n">
        <v>0</v>
      </c>
      <c r="J100" s="31" t="n">
        <v>0</v>
      </c>
      <c r="K100" s="31" t="n">
        <v>600</v>
      </c>
      <c r="L100" s="31" t="n">
        <v>0</v>
      </c>
      <c r="M100" s="32" t="n">
        <v>600</v>
      </c>
      <c r="N100" s="32" t="n">
        <v>12000</v>
      </c>
      <c r="O100" s="32" t="n">
        <v>600</v>
      </c>
      <c r="P100" s="32" t="n">
        <v>12000</v>
      </c>
      <c r="Q100" s="24" t="inlineStr">
        <is>
          <t>SOBRE PEDIDO (EXP)</t>
        </is>
      </c>
    </row>
    <row r="101" ht="19" customHeight="1">
      <c r="A101" s="18" t="inlineStr">
        <is>
          <t>AMIMG0020</t>
        </is>
      </c>
      <c r="B101" s="19" t="inlineStr">
        <is>
          <t>AMIMG0020</t>
        </is>
      </c>
      <c r="C101" s="20" t="inlineStr">
        <is>
          <t>AMINOSOIL MG, 20 L</t>
        </is>
      </c>
      <c r="D101" s="21" t="n">
        <v>20</v>
      </c>
      <c r="E101" s="20" t="inlineStr">
        <is>
          <t>Garrafas 20L</t>
        </is>
      </c>
      <c r="F101" s="19" t="inlineStr">
        <is>
          <t>ESPAÑA</t>
        </is>
      </c>
      <c r="G101" s="19" t="inlineStr">
        <is>
          <t>Para Previsión (Nac)</t>
        </is>
      </c>
      <c r="H101" s="22" t="n">
        <v>400</v>
      </c>
      <c r="I101" s="22" t="n">
        <v>0</v>
      </c>
      <c r="J101" s="22" t="n">
        <v>0</v>
      </c>
      <c r="K101" s="22" t="n">
        <v>640</v>
      </c>
      <c r="L101" s="22" t="n">
        <v>300</v>
      </c>
      <c r="M101" s="23" t="n">
        <v>940</v>
      </c>
      <c r="N101" s="23" t="n">
        <v>18800</v>
      </c>
      <c r="O101" s="23" t="n">
        <v>540</v>
      </c>
      <c r="P101" s="23" t="n">
        <v>10800</v>
      </c>
      <c r="Q101" s="24" t="inlineStr">
        <is>
          <t>FABRICACIÓN URGENTE</t>
        </is>
      </c>
    </row>
    <row r="102" ht="19" customHeight="1">
      <c r="A102" s="25" t="inlineStr">
        <is>
          <t>C-CU0020</t>
        </is>
      </c>
      <c r="B102" s="29" t="inlineStr">
        <is>
          <t>C-CU0020</t>
        </is>
      </c>
      <c r="C102" s="27" t="inlineStr">
        <is>
          <t>CODICOBRE, 20 L</t>
        </is>
      </c>
      <c r="D102" s="28" t="n">
        <v>20</v>
      </c>
      <c r="E102" s="27" t="inlineStr">
        <is>
          <t>Garrafas 20L</t>
        </is>
      </c>
      <c r="F102" s="29" t="inlineStr">
        <is>
          <t>ESPAÑA</t>
        </is>
      </c>
      <c r="G102" s="29" t="inlineStr">
        <is>
          <t>Para Previsión (Nac)</t>
        </is>
      </c>
      <c r="H102" s="31" t="n">
        <v>3620</v>
      </c>
      <c r="I102" s="31" t="n">
        <v>320</v>
      </c>
      <c r="J102" s="31" t="n">
        <v>2120</v>
      </c>
      <c r="K102" s="31" t="n">
        <v>1680</v>
      </c>
      <c r="L102" s="31" t="n">
        <v>0</v>
      </c>
      <c r="M102" s="32" t="n">
        <v>4120</v>
      </c>
      <c r="N102" s="32" t="n">
        <v>82400</v>
      </c>
      <c r="O102" s="32" t="n">
        <v>500</v>
      </c>
      <c r="P102" s="32" t="n">
        <v>10000</v>
      </c>
      <c r="Q102" s="24" t="inlineStr">
        <is>
          <t>FABRICACIÓN URGENTE</t>
        </is>
      </c>
    </row>
    <row r="103" ht="19" customHeight="1">
      <c r="A103" s="18" t="inlineStr">
        <is>
          <t>FTK0005</t>
        </is>
      </c>
      <c r="B103" s="33" t="inlineStr">
        <is>
          <t>FTK0005MA</t>
        </is>
      </c>
      <c r="C103" s="20" t="inlineStr">
        <is>
          <t>FITOKONTROL CA FLOW, 5 KG</t>
        </is>
      </c>
      <c r="D103" s="21" t="n">
        <v>5</v>
      </c>
      <c r="E103" s="20" t="inlineStr">
        <is>
          <t>Garrafas 5L</t>
        </is>
      </c>
      <c r="F103" s="19" t="inlineStr">
        <is>
          <t>MARRUECOS</t>
        </is>
      </c>
      <c r="G103" s="34" t="inlineStr">
        <is>
          <t>Sobre Pedido (Export)</t>
        </is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2000</v>
      </c>
      <c r="M103" s="23" t="n">
        <v>2000</v>
      </c>
      <c r="N103" s="23" t="n">
        <v>10000</v>
      </c>
      <c r="O103" s="23" t="n">
        <v>2000</v>
      </c>
      <c r="P103" s="23" t="n">
        <v>10000</v>
      </c>
      <c r="Q103" s="24" t="inlineStr">
        <is>
          <t>SOBRE PEDIDO (EXP)</t>
        </is>
      </c>
    </row>
    <row r="104" ht="19" customHeight="1">
      <c r="A104" s="25" t="inlineStr">
        <is>
          <t>GRE20005</t>
        </is>
      </c>
      <c r="B104" s="26" t="inlineStr">
        <is>
          <t>GRE20005GR</t>
        </is>
      </c>
      <c r="C104" s="27" t="inlineStr">
        <is>
          <t>EGERSIS</t>
        </is>
      </c>
      <c r="D104" s="28" t="n">
        <v>5</v>
      </c>
      <c r="E104" s="27" t="inlineStr">
        <is>
          <t>Garrafas 5L</t>
        </is>
      </c>
      <c r="F104" s="29" t="inlineStr">
        <is>
          <t>GRECIA</t>
        </is>
      </c>
      <c r="G104" s="30" t="inlineStr">
        <is>
          <t>Sobre Pedido (Export)</t>
        </is>
      </c>
      <c r="H104" s="31" t="n">
        <v>0</v>
      </c>
      <c r="I104" s="31" t="n">
        <v>0</v>
      </c>
      <c r="J104" s="31" t="n">
        <v>0</v>
      </c>
      <c r="K104" s="31" t="n">
        <v>0</v>
      </c>
      <c r="L104" s="31" t="n">
        <v>2000</v>
      </c>
      <c r="M104" s="32" t="n">
        <v>2000</v>
      </c>
      <c r="N104" s="32" t="n">
        <v>10000</v>
      </c>
      <c r="O104" s="32" t="n">
        <v>2000</v>
      </c>
      <c r="P104" s="32" t="n">
        <v>10000</v>
      </c>
      <c r="Q104" s="24" t="inlineStr">
        <is>
          <t>SOBRE PEDIDO (EXP)</t>
        </is>
      </c>
    </row>
    <row r="105" ht="19" customHeight="1">
      <c r="A105" s="18" t="inlineStr">
        <is>
          <t>VITA0001</t>
        </is>
      </c>
      <c r="B105" s="33" t="inlineStr">
        <is>
          <t>VITA0001GR</t>
        </is>
      </c>
      <c r="C105" s="20" t="inlineStr">
        <is>
          <t>VITA-S</t>
        </is>
      </c>
      <c r="D105" s="21" t="n">
        <v>1</v>
      </c>
      <c r="E105" s="20" t="inlineStr">
        <is>
          <t>Botellas 1L</t>
        </is>
      </c>
      <c r="F105" s="19" t="inlineStr">
        <is>
          <t>GRECIA</t>
        </is>
      </c>
      <c r="G105" s="34" t="inlineStr">
        <is>
          <t>Sobre Pedido (Export)</t>
        </is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10000</v>
      </c>
      <c r="M105" s="23" t="n">
        <v>10000</v>
      </c>
      <c r="N105" s="23" t="n">
        <v>10000</v>
      </c>
      <c r="O105" s="23" t="n">
        <v>10000</v>
      </c>
      <c r="P105" s="23" t="n">
        <v>10000</v>
      </c>
      <c r="Q105" s="24" t="inlineStr">
        <is>
          <t>SOBRE PEDIDO (EXP)</t>
        </is>
      </c>
    </row>
    <row r="106" ht="19" customHeight="1">
      <c r="A106" s="25" t="inlineStr">
        <is>
          <t>A-500005</t>
        </is>
      </c>
      <c r="B106" s="26" t="inlineStr">
        <is>
          <t>A-500005CR</t>
        </is>
      </c>
      <c r="C106" s="27" t="inlineStr">
        <is>
          <t>CODIORGAN  A-50</t>
        </is>
      </c>
      <c r="D106" s="28" t="n">
        <v>5</v>
      </c>
      <c r="E106" s="27" t="inlineStr">
        <is>
          <t>Garrafas 5L</t>
        </is>
      </c>
      <c r="F106" s="29" t="inlineStr">
        <is>
          <t>COSTA RICA</t>
        </is>
      </c>
      <c r="G106" s="30" t="inlineStr">
        <is>
          <t>Sobre Pedido (Export)</t>
        </is>
      </c>
      <c r="H106" s="31" t="n">
        <v>0</v>
      </c>
      <c r="I106" s="31" t="n">
        <v>0</v>
      </c>
      <c r="J106" s="31" t="n">
        <v>1000</v>
      </c>
      <c r="K106" s="31" t="n">
        <v>1000</v>
      </c>
      <c r="L106" s="31" t="n">
        <v>0</v>
      </c>
      <c r="M106" s="32" t="n">
        <v>2000</v>
      </c>
      <c r="N106" s="32" t="n">
        <v>10000</v>
      </c>
      <c r="O106" s="32" t="n">
        <v>2000</v>
      </c>
      <c r="P106" s="32" t="n">
        <v>10000</v>
      </c>
      <c r="Q106" s="24" t="inlineStr">
        <is>
          <t>SOBRE PEDIDO (EXP)</t>
        </is>
      </c>
    </row>
    <row r="107" ht="19" customHeight="1">
      <c r="A107" s="18" t="inlineStr">
        <is>
          <t>FTK0005</t>
        </is>
      </c>
      <c r="B107" s="19" t="inlineStr">
        <is>
          <t>FTK0005</t>
        </is>
      </c>
      <c r="C107" s="20" t="inlineStr">
        <is>
          <t>FITOKONTROL CA FLOW, 5 KG</t>
        </is>
      </c>
      <c r="D107" s="21" t="n">
        <v>5</v>
      </c>
      <c r="E107" s="20" t="inlineStr">
        <is>
          <t>Garrafas 5L</t>
        </is>
      </c>
      <c r="F107" s="19" t="inlineStr">
        <is>
          <t>ESPAÑA</t>
        </is>
      </c>
      <c r="G107" s="19" t="inlineStr">
        <is>
          <t>Para Previsión (Nac)</t>
        </is>
      </c>
      <c r="H107" s="22" t="n">
        <v>440</v>
      </c>
      <c r="I107" s="22" t="n">
        <v>0</v>
      </c>
      <c r="J107" s="22" t="n">
        <v>300</v>
      </c>
      <c r="K107" s="22" t="n">
        <v>600</v>
      </c>
      <c r="L107" s="22" t="n">
        <v>1200</v>
      </c>
      <c r="M107" s="23" t="n">
        <v>2100</v>
      </c>
      <c r="N107" s="23" t="n">
        <v>10500</v>
      </c>
      <c r="O107" s="23" t="n">
        <v>1660</v>
      </c>
      <c r="P107" s="23" t="n">
        <v>8300</v>
      </c>
      <c r="Q107" s="24" t="inlineStr">
        <is>
          <t>FABRICACIÓN URGENTE</t>
        </is>
      </c>
    </row>
    <row r="108" ht="19" customHeight="1">
      <c r="A108" s="25" t="inlineStr">
        <is>
          <t>PHD0005</t>
        </is>
      </c>
      <c r="B108" s="26" t="inlineStr">
        <is>
          <t>PHD0005MA</t>
        </is>
      </c>
      <c r="C108" s="27" t="inlineStr">
        <is>
          <t>PH-DOWNER, 5 L</t>
        </is>
      </c>
      <c r="D108" s="28" t="n">
        <v>5</v>
      </c>
      <c r="E108" s="27" t="inlineStr">
        <is>
          <t>Garrafas 5L</t>
        </is>
      </c>
      <c r="F108" s="29" t="inlineStr">
        <is>
          <t>MARRUECOS</t>
        </is>
      </c>
      <c r="G108" s="30" t="inlineStr">
        <is>
          <t>Sobre Pedido (Export)</t>
        </is>
      </c>
      <c r="H108" s="31" t="n">
        <v>0</v>
      </c>
      <c r="I108" s="31" t="n">
        <v>0</v>
      </c>
      <c r="J108" s="31" t="n">
        <v>1600</v>
      </c>
      <c r="K108" s="31" t="n">
        <v>0</v>
      </c>
      <c r="L108" s="31" t="n">
        <v>0</v>
      </c>
      <c r="M108" s="32" t="n">
        <v>1600</v>
      </c>
      <c r="N108" s="32" t="n">
        <v>8000</v>
      </c>
      <c r="O108" s="32" t="n">
        <v>1600</v>
      </c>
      <c r="P108" s="32" t="n">
        <v>8000</v>
      </c>
      <c r="Q108" s="24" t="inlineStr">
        <is>
          <t>SOBRE PEDIDO (EXP)</t>
        </is>
      </c>
    </row>
    <row r="109" ht="19" customHeight="1">
      <c r="A109" s="18" t="inlineStr">
        <is>
          <t>GRE10001</t>
        </is>
      </c>
      <c r="B109" s="33" t="inlineStr">
        <is>
          <t>GRE10001GR</t>
        </is>
      </c>
      <c r="C109" s="20" t="inlineStr">
        <is>
          <t>TONAZ</t>
        </is>
      </c>
      <c r="D109" s="21" t="n">
        <v>1</v>
      </c>
      <c r="E109" s="20" t="inlineStr">
        <is>
          <t>Botellas 1L</t>
        </is>
      </c>
      <c r="F109" s="19" t="inlineStr">
        <is>
          <t>GRECIA</t>
        </is>
      </c>
      <c r="G109" s="34" t="inlineStr">
        <is>
          <t>Sobre Pedido (Export)</t>
        </is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8000</v>
      </c>
      <c r="M109" s="23" t="n">
        <v>8000</v>
      </c>
      <c r="N109" s="23" t="n">
        <v>8000</v>
      </c>
      <c r="O109" s="23" t="n">
        <v>8000</v>
      </c>
      <c r="P109" s="23" t="n">
        <v>8000</v>
      </c>
      <c r="Q109" s="24" t="inlineStr">
        <is>
          <t>SOBRE PEDIDO (EXP)</t>
        </is>
      </c>
    </row>
    <row r="110" ht="19" customHeight="1">
      <c r="A110" s="25" t="inlineStr">
        <is>
          <t>C-CU20001</t>
        </is>
      </c>
      <c r="B110" s="26" t="inlineStr">
        <is>
          <t>C-CU20001EG</t>
        </is>
      </c>
      <c r="C110" s="27" t="inlineStr">
        <is>
          <t>CODICOBRE</t>
        </is>
      </c>
      <c r="D110" s="28" t="n">
        <v>1</v>
      </c>
      <c r="E110" s="27" t="inlineStr">
        <is>
          <t>Botellas 1L</t>
        </is>
      </c>
      <c r="F110" s="29" t="inlineStr">
        <is>
          <t>EGIPTO</t>
        </is>
      </c>
      <c r="G110" s="30" t="inlineStr">
        <is>
          <t>Sobre Pedido (Export)</t>
        </is>
      </c>
      <c r="H110" s="31" t="n">
        <v>0</v>
      </c>
      <c r="I110" s="31" t="n">
        <v>0</v>
      </c>
      <c r="J110" s="31" t="n">
        <v>0</v>
      </c>
      <c r="K110" s="31" t="n">
        <v>7920</v>
      </c>
      <c r="L110" s="31" t="n">
        <v>0</v>
      </c>
      <c r="M110" s="32" t="n">
        <v>7920</v>
      </c>
      <c r="N110" s="32" t="n">
        <v>7920</v>
      </c>
      <c r="O110" s="32" t="n">
        <v>7920</v>
      </c>
      <c r="P110" s="32" t="n">
        <v>7920</v>
      </c>
      <c r="Q110" s="24" t="inlineStr">
        <is>
          <t>SOBRE PEDIDO (EXP)</t>
        </is>
      </c>
    </row>
    <row r="111" ht="19" customHeight="1">
      <c r="A111" s="18" t="inlineStr">
        <is>
          <t>F-A0005</t>
        </is>
      </c>
      <c r="B111" s="33" t="inlineStr">
        <is>
          <t>F-A0005DO</t>
        </is>
      </c>
      <c r="C111" s="20" t="inlineStr">
        <is>
          <t>FITOLIN-AGRO, 5 L</t>
        </is>
      </c>
      <c r="D111" s="21" t="n">
        <v>5</v>
      </c>
      <c r="E111" s="20" t="inlineStr">
        <is>
          <t>Garrafas 5L</t>
        </is>
      </c>
      <c r="F111" s="19" t="inlineStr">
        <is>
          <t>DOMINICANA, REPÚBLICA</t>
        </is>
      </c>
      <c r="G111" s="34" t="inlineStr">
        <is>
          <t>Sobre Pedido (Export)</t>
        </is>
      </c>
      <c r="H111" s="22" t="n">
        <v>0</v>
      </c>
      <c r="I111" s="22" t="n">
        <v>0</v>
      </c>
      <c r="J111" s="22" t="n">
        <v>0</v>
      </c>
      <c r="K111" s="22" t="n">
        <v>1500</v>
      </c>
      <c r="L111" s="22" t="n">
        <v>0</v>
      </c>
      <c r="M111" s="23" t="n">
        <v>1500</v>
      </c>
      <c r="N111" s="23" t="n">
        <v>7500</v>
      </c>
      <c r="O111" s="23" t="n">
        <v>1500</v>
      </c>
      <c r="P111" s="23" t="n">
        <v>7500</v>
      </c>
      <c r="Q111" s="24" t="inlineStr">
        <is>
          <t>SOBRE PEDIDO (EXP)</t>
        </is>
      </c>
    </row>
    <row r="112" ht="19" customHeight="1">
      <c r="A112" s="25" t="inlineStr">
        <is>
          <t>AGZN0005</t>
        </is>
      </c>
      <c r="B112" s="26" t="inlineStr">
        <is>
          <t>AGZN0005CR</t>
        </is>
      </c>
      <c r="C112" s="27" t="inlineStr">
        <is>
          <t>AGROXILATO-ZN 16%,  5 KG (EXPORT)</t>
        </is>
      </c>
      <c r="D112" s="28" t="n">
        <v>5</v>
      </c>
      <c r="E112" s="27" t="inlineStr">
        <is>
          <t>Garrafas 5L</t>
        </is>
      </c>
      <c r="F112" s="29" t="inlineStr">
        <is>
          <t>COSTA RICA</t>
        </is>
      </c>
      <c r="G112" s="30" t="inlineStr">
        <is>
          <t>Sobre Pedido (Export)</t>
        </is>
      </c>
      <c r="H112" s="31" t="n">
        <v>0</v>
      </c>
      <c r="I112" s="31" t="n">
        <v>0</v>
      </c>
      <c r="J112" s="31" t="n">
        <v>1000</v>
      </c>
      <c r="K112" s="31" t="n">
        <v>0</v>
      </c>
      <c r="L112" s="31" t="n">
        <v>500</v>
      </c>
      <c r="M112" s="32" t="n">
        <v>1500</v>
      </c>
      <c r="N112" s="32" t="n">
        <v>7500</v>
      </c>
      <c r="O112" s="32" t="n">
        <v>1500</v>
      </c>
      <c r="P112" s="32" t="n">
        <v>7500</v>
      </c>
      <c r="Q112" s="24" t="inlineStr">
        <is>
          <t>SOBRE PEDIDO (EXP)</t>
        </is>
      </c>
    </row>
    <row r="113" ht="19" customHeight="1">
      <c r="A113" s="18" t="inlineStr">
        <is>
          <t>C-CU0020</t>
        </is>
      </c>
      <c r="B113" s="33" t="inlineStr">
        <is>
          <t>C-CU0020RO</t>
        </is>
      </c>
      <c r="C113" s="20" t="inlineStr">
        <is>
          <t>CODICOBRE, 20 L</t>
        </is>
      </c>
      <c r="D113" s="21" t="n">
        <v>20</v>
      </c>
      <c r="E113" s="20" t="inlineStr">
        <is>
          <t>Garrafas 20L</t>
        </is>
      </c>
      <c r="F113" s="19" t="inlineStr">
        <is>
          <t>RUMANÍA</t>
        </is>
      </c>
      <c r="G113" s="34" t="inlineStr">
        <is>
          <t>Sobre Pedido (Export)</t>
        </is>
      </c>
      <c r="H113" s="22" t="n">
        <v>0</v>
      </c>
      <c r="I113" s="22" t="n">
        <v>0</v>
      </c>
      <c r="J113" s="22" t="n">
        <v>0</v>
      </c>
      <c r="K113" s="22" t="n">
        <v>320</v>
      </c>
      <c r="L113" s="22" t="n">
        <v>0</v>
      </c>
      <c r="M113" s="23" t="n">
        <v>320</v>
      </c>
      <c r="N113" s="23" t="n">
        <v>6400</v>
      </c>
      <c r="O113" s="23" t="n">
        <v>320</v>
      </c>
      <c r="P113" s="23" t="n">
        <v>6400</v>
      </c>
      <c r="Q113" s="24" t="inlineStr">
        <is>
          <t>SOBRE PEDIDO (EXP)</t>
        </is>
      </c>
    </row>
    <row r="114" ht="19" customHeight="1">
      <c r="A114" s="25" t="inlineStr">
        <is>
          <t>SS0005</t>
        </is>
      </c>
      <c r="B114" s="26" t="inlineStr">
        <is>
          <t>SS0005CR</t>
        </is>
      </c>
      <c r="C114" s="27" t="inlineStr">
        <is>
          <t>SALWAX-CA, 5 KG</t>
        </is>
      </c>
      <c r="D114" s="28" t="n">
        <v>5</v>
      </c>
      <c r="E114" s="27" t="inlineStr">
        <is>
          <t>Garrafas 5L</t>
        </is>
      </c>
      <c r="F114" s="29" t="inlineStr">
        <is>
          <t>COSTA RICA</t>
        </is>
      </c>
      <c r="G114" s="30" t="inlineStr">
        <is>
          <t>Sobre Pedido (Export)</t>
        </is>
      </c>
      <c r="H114" s="31" t="n">
        <v>260</v>
      </c>
      <c r="I114" s="31" t="n">
        <v>0</v>
      </c>
      <c r="J114" s="31" t="n">
        <v>1000</v>
      </c>
      <c r="K114" s="31" t="n">
        <v>0</v>
      </c>
      <c r="L114" s="31" t="n">
        <v>400</v>
      </c>
      <c r="M114" s="32" t="n">
        <v>1400</v>
      </c>
      <c r="N114" s="32" t="n">
        <v>7000</v>
      </c>
      <c r="O114" s="32" t="n">
        <v>1140</v>
      </c>
      <c r="P114" s="32" t="n">
        <v>5700</v>
      </c>
      <c r="Q114" s="24" t="inlineStr">
        <is>
          <t>SOBRE PEDIDO (EXP)</t>
        </is>
      </c>
    </row>
    <row r="115" ht="19" customHeight="1">
      <c r="A115" s="18" t="inlineStr">
        <is>
          <t>AVAN0001</t>
        </is>
      </c>
      <c r="B115" s="33" t="inlineStr">
        <is>
          <t>AVAN0001EG</t>
        </is>
      </c>
      <c r="C115" s="20" t="inlineStr">
        <is>
          <t>CODI-FLOR AVANCE, 1 L</t>
        </is>
      </c>
      <c r="D115" s="21" t="n">
        <v>1</v>
      </c>
      <c r="E115" s="20" t="inlineStr">
        <is>
          <t>Botellas 1L</t>
        </is>
      </c>
      <c r="F115" s="19" t="inlineStr">
        <is>
          <t>EGIPTO</t>
        </is>
      </c>
      <c r="G115" s="34" t="inlineStr">
        <is>
          <t>Sobre Pedido (Export)</t>
        </is>
      </c>
      <c r="H115" s="22" t="n">
        <v>324</v>
      </c>
      <c r="I115" s="22" t="n">
        <v>0</v>
      </c>
      <c r="J115" s="22" t="n">
        <v>3000</v>
      </c>
      <c r="K115" s="22" t="n">
        <v>0</v>
      </c>
      <c r="L115" s="22" t="n">
        <v>3000</v>
      </c>
      <c r="M115" s="23" t="n">
        <v>6000</v>
      </c>
      <c r="N115" s="23" t="n">
        <v>6000</v>
      </c>
      <c r="O115" s="23" t="n">
        <v>5676</v>
      </c>
      <c r="P115" s="23" t="n">
        <v>5676</v>
      </c>
      <c r="Q115" s="24" t="inlineStr">
        <is>
          <t>SOBRE PEDIDO (EXP)</t>
        </is>
      </c>
    </row>
    <row r="116" ht="19" customHeight="1">
      <c r="A116" s="25" t="inlineStr">
        <is>
          <t>AN0005</t>
        </is>
      </c>
      <c r="B116" s="26" t="inlineStr">
        <is>
          <t>AN0005RS</t>
        </is>
      </c>
      <c r="C116" s="27" t="inlineStr">
        <is>
          <t>ALCAPLANT NEW, 5 KG</t>
        </is>
      </c>
      <c r="D116" s="28" t="n">
        <v>5</v>
      </c>
      <c r="E116" s="27" t="inlineStr">
        <is>
          <t>Garrafas 5L</t>
        </is>
      </c>
      <c r="F116" s="29" t="inlineStr">
        <is>
          <t>SERBIA</t>
        </is>
      </c>
      <c r="G116" s="30" t="inlineStr">
        <is>
          <t>Sobre Pedido (Export)</t>
        </is>
      </c>
      <c r="H116" s="31" t="n">
        <v>0</v>
      </c>
      <c r="I116" s="31" t="n">
        <v>0</v>
      </c>
      <c r="J116" s="31" t="n">
        <v>0</v>
      </c>
      <c r="K116" s="31" t="n">
        <v>0</v>
      </c>
      <c r="L116" s="31" t="n">
        <v>1100</v>
      </c>
      <c r="M116" s="32" t="n">
        <v>1100</v>
      </c>
      <c r="N116" s="32" t="n">
        <v>5500</v>
      </c>
      <c r="O116" s="32" t="n">
        <v>1100</v>
      </c>
      <c r="P116" s="32" t="n">
        <v>5500</v>
      </c>
      <c r="Q116" s="24" t="inlineStr">
        <is>
          <t>SOBRE PEDIDO (EXP)</t>
        </is>
      </c>
    </row>
    <row r="117" ht="19" customHeight="1">
      <c r="A117" s="18" t="inlineStr">
        <is>
          <t>AGXKC0020</t>
        </is>
      </c>
      <c r="B117" s="19" t="inlineStr">
        <is>
          <t>AGXKC0020</t>
        </is>
      </c>
      <c r="C117" s="20" t="inlineStr">
        <is>
          <t>AGROXILATO-COMPLET, 20 L</t>
        </is>
      </c>
      <c r="D117" s="21" t="n">
        <v>20</v>
      </c>
      <c r="E117" s="20" t="inlineStr">
        <is>
          <t>Garrafas 20L</t>
        </is>
      </c>
      <c r="F117" s="19" t="inlineStr">
        <is>
          <t>ESPAÑA</t>
        </is>
      </c>
      <c r="G117" s="19" t="inlineStr">
        <is>
          <t>Para Previsión (Nac)</t>
        </is>
      </c>
      <c r="H117" s="22" t="n">
        <v>1020</v>
      </c>
      <c r="I117" s="22" t="n">
        <v>0</v>
      </c>
      <c r="J117" s="22" t="n">
        <v>0</v>
      </c>
      <c r="K117" s="22" t="n">
        <v>1280</v>
      </c>
      <c r="L117" s="22" t="n">
        <v>0</v>
      </c>
      <c r="M117" s="23" t="n">
        <v>1280</v>
      </c>
      <c r="N117" s="23" t="n">
        <v>25600</v>
      </c>
      <c r="O117" s="23" t="n">
        <v>260</v>
      </c>
      <c r="P117" s="23" t="n">
        <v>5200</v>
      </c>
      <c r="Q117" s="24" t="inlineStr">
        <is>
          <t>FABRICACIÓN URGENTE</t>
        </is>
      </c>
    </row>
    <row r="118" ht="19" customHeight="1">
      <c r="A118" s="25" t="inlineStr">
        <is>
          <t>CZNMNES0005</t>
        </is>
      </c>
      <c r="B118" s="26" t="inlineStr">
        <is>
          <t>CZNMNES0005GE</t>
        </is>
      </c>
      <c r="C118" s="27" t="inlineStr">
        <is>
          <t>CODIFOL ZN-MN, 5 KG</t>
        </is>
      </c>
      <c r="D118" s="28" t="n">
        <v>5</v>
      </c>
      <c r="E118" s="27" t="inlineStr">
        <is>
          <t>Garrafas 5L</t>
        </is>
      </c>
      <c r="F118" s="29" t="inlineStr">
        <is>
          <t>GEORGIA</t>
        </is>
      </c>
      <c r="G118" s="30" t="inlineStr">
        <is>
          <t>Sobre Pedido (Export)</t>
        </is>
      </c>
      <c r="H118" s="31" t="n">
        <v>0</v>
      </c>
      <c r="I118" s="31" t="n">
        <v>0</v>
      </c>
      <c r="J118" s="31" t="n">
        <v>0</v>
      </c>
      <c r="K118" s="31" t="n">
        <v>0</v>
      </c>
      <c r="L118" s="31" t="n">
        <v>1000</v>
      </c>
      <c r="M118" s="32" t="n">
        <v>1000</v>
      </c>
      <c r="N118" s="32" t="n">
        <v>5000</v>
      </c>
      <c r="O118" s="32" t="n">
        <v>1000</v>
      </c>
      <c r="P118" s="32" t="n">
        <v>5000</v>
      </c>
      <c r="Q118" s="24" t="inlineStr">
        <is>
          <t>SOBRE PEDIDO (EXP)</t>
        </is>
      </c>
    </row>
    <row r="119" ht="19" customHeight="1">
      <c r="A119" s="18" t="inlineStr">
        <is>
          <t>AGMG0005</t>
        </is>
      </c>
      <c r="B119" s="33" t="inlineStr">
        <is>
          <t>AGMG0005CR</t>
        </is>
      </c>
      <c r="C119" s="20" t="inlineStr">
        <is>
          <t>AGROXILATO-MG, 5 KG (EXPORT)</t>
        </is>
      </c>
      <c r="D119" s="21" t="n">
        <v>5</v>
      </c>
      <c r="E119" s="20" t="inlineStr">
        <is>
          <t>Garrafas 5L</t>
        </is>
      </c>
      <c r="F119" s="19" t="inlineStr">
        <is>
          <t>COSTA RICA</t>
        </is>
      </c>
      <c r="G119" s="34" t="inlineStr">
        <is>
          <t>Sobre Pedido (Export)</t>
        </is>
      </c>
      <c r="H119" s="22" t="n">
        <v>0</v>
      </c>
      <c r="I119" s="22" t="n">
        <v>0</v>
      </c>
      <c r="J119" s="22" t="n">
        <v>500</v>
      </c>
      <c r="K119" s="22" t="n">
        <v>0</v>
      </c>
      <c r="L119" s="22" t="n">
        <v>500</v>
      </c>
      <c r="M119" s="23" t="n">
        <v>1000</v>
      </c>
      <c r="N119" s="23" t="n">
        <v>5000</v>
      </c>
      <c r="O119" s="23" t="n">
        <v>1000</v>
      </c>
      <c r="P119" s="23" t="n">
        <v>5000</v>
      </c>
      <c r="Q119" s="24" t="inlineStr">
        <is>
          <t>SOBRE PEDIDO (EXP)</t>
        </is>
      </c>
    </row>
    <row r="120" ht="19" customHeight="1">
      <c r="A120" s="25" t="inlineStr">
        <is>
          <t>BPLUS0005</t>
        </is>
      </c>
      <c r="B120" s="26" t="inlineStr">
        <is>
          <t>BPLUS0005LB</t>
        </is>
      </c>
      <c r="C120" s="27" t="inlineStr">
        <is>
          <t>BOROCAL PLUS, 5 KG</t>
        </is>
      </c>
      <c r="D120" s="28" t="n">
        <v>5</v>
      </c>
      <c r="E120" s="27" t="inlineStr">
        <is>
          <t>Garrafas 5L</t>
        </is>
      </c>
      <c r="F120" s="29" t="inlineStr">
        <is>
          <t>LÍBANO</t>
        </is>
      </c>
      <c r="G120" s="30" t="inlineStr">
        <is>
          <t>Sobre Pedido (Export)</t>
        </is>
      </c>
      <c r="H120" s="31" t="n">
        <v>0</v>
      </c>
      <c r="I120" s="31" t="n">
        <v>0</v>
      </c>
      <c r="J120" s="31" t="n">
        <v>0</v>
      </c>
      <c r="K120" s="31" t="n">
        <v>0</v>
      </c>
      <c r="L120" s="31" t="n">
        <v>1000</v>
      </c>
      <c r="M120" s="32" t="n">
        <v>1000</v>
      </c>
      <c r="N120" s="32" t="n">
        <v>5000</v>
      </c>
      <c r="O120" s="32" t="n">
        <v>1000</v>
      </c>
      <c r="P120" s="32" t="n">
        <v>5000</v>
      </c>
      <c r="Q120" s="24" t="inlineStr">
        <is>
          <t>SOBRE PEDIDO (EXP)</t>
        </is>
      </c>
    </row>
    <row r="121" ht="19" customHeight="1">
      <c r="A121" s="18" t="inlineStr">
        <is>
          <t>A-500005</t>
        </is>
      </c>
      <c r="B121" s="33" t="inlineStr">
        <is>
          <t>A-500005GE</t>
        </is>
      </c>
      <c r="C121" s="20" t="inlineStr">
        <is>
          <t>CODIORGAN  A-50</t>
        </is>
      </c>
      <c r="D121" s="21" t="n">
        <v>5</v>
      </c>
      <c r="E121" s="20" t="inlineStr">
        <is>
          <t>Garrafas 5L</t>
        </is>
      </c>
      <c r="F121" s="19" t="inlineStr">
        <is>
          <t>GEORGIA</t>
        </is>
      </c>
      <c r="G121" s="34" t="inlineStr">
        <is>
          <t>Sobre Pedido (Export)</t>
        </is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1000</v>
      </c>
      <c r="M121" s="23" t="n">
        <v>1000</v>
      </c>
      <c r="N121" s="23" t="n">
        <v>5000</v>
      </c>
      <c r="O121" s="23" t="n">
        <v>1000</v>
      </c>
      <c r="P121" s="23" t="n">
        <v>5000</v>
      </c>
      <c r="Q121" s="24" t="inlineStr">
        <is>
          <t>SOBRE PEDIDO (EXP)</t>
        </is>
      </c>
    </row>
    <row r="122" ht="19" customHeight="1">
      <c r="A122" s="25" t="inlineStr">
        <is>
          <t>CM30005</t>
        </is>
      </c>
      <c r="B122" s="26" t="inlineStr">
        <is>
          <t>CM30005GE</t>
        </is>
      </c>
      <c r="C122" s="27" t="inlineStr">
        <is>
          <t>TENSOLINE, 5 L</t>
        </is>
      </c>
      <c r="D122" s="28" t="n">
        <v>5</v>
      </c>
      <c r="E122" s="27" t="inlineStr">
        <is>
          <t>Garrafas 5L</t>
        </is>
      </c>
      <c r="F122" s="29" t="inlineStr">
        <is>
          <t>GEORGIA</t>
        </is>
      </c>
      <c r="G122" s="30" t="inlineStr">
        <is>
          <t>Sobre Pedido (Export)</t>
        </is>
      </c>
      <c r="H122" s="31" t="n">
        <v>0</v>
      </c>
      <c r="I122" s="31" t="n">
        <v>0</v>
      </c>
      <c r="J122" s="31" t="n">
        <v>0</v>
      </c>
      <c r="K122" s="31" t="n">
        <v>0</v>
      </c>
      <c r="L122" s="31" t="n">
        <v>1000</v>
      </c>
      <c r="M122" s="32" t="n">
        <v>1000</v>
      </c>
      <c r="N122" s="32" t="n">
        <v>5000</v>
      </c>
      <c r="O122" s="32" t="n">
        <v>1000</v>
      </c>
      <c r="P122" s="32" t="n">
        <v>5000</v>
      </c>
      <c r="Q122" s="24" t="inlineStr">
        <is>
          <t>SOBRE PEDIDO (EXP)</t>
        </is>
      </c>
    </row>
    <row r="123" ht="19" customHeight="1">
      <c r="A123" s="18" t="inlineStr">
        <is>
          <t>NAZAZ</t>
        </is>
      </c>
      <c r="B123" s="19" t="inlineStr">
        <is>
          <t>NAZAZ</t>
        </is>
      </c>
      <c r="C123" s="20" t="inlineStr">
        <is>
          <t>AMINOG AL , 1L</t>
        </is>
      </c>
      <c r="D123" s="21" t="n">
        <v>1</v>
      </c>
      <c r="E123" s="20" t="inlineStr">
        <is>
          <t>Botellas 1L</t>
        </is>
      </c>
      <c r="F123" s="19" t="inlineStr">
        <is>
          <t>AZERBAIYÁN</t>
        </is>
      </c>
      <c r="G123" s="34" t="inlineStr">
        <is>
          <t>Sobre Pedido (Export)</t>
        </is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4920</v>
      </c>
      <c r="M123" s="23" t="n">
        <v>4920</v>
      </c>
      <c r="N123" s="23" t="n">
        <v>4920</v>
      </c>
      <c r="O123" s="23" t="n">
        <v>4920</v>
      </c>
      <c r="P123" s="23" t="n">
        <v>4920</v>
      </c>
      <c r="Q123" s="24" t="inlineStr">
        <is>
          <t>SOBRE PEDIDO (EXP)</t>
        </is>
      </c>
    </row>
    <row r="124" ht="19" customHeight="1">
      <c r="A124" s="25" t="inlineStr">
        <is>
          <t>A-50EG0001</t>
        </is>
      </c>
      <c r="B124" s="26" t="inlineStr">
        <is>
          <t>A-50EG0001EG</t>
        </is>
      </c>
      <c r="C124" s="27" t="inlineStr">
        <is>
          <t>CODIORGAN-A50</t>
        </is>
      </c>
      <c r="D124" s="28" t="n">
        <v>1</v>
      </c>
      <c r="E124" s="27" t="inlineStr">
        <is>
          <t>Botellas 1L</t>
        </is>
      </c>
      <c r="F124" s="29" t="inlineStr">
        <is>
          <t>EGIPTO</t>
        </is>
      </c>
      <c r="G124" s="30" t="inlineStr">
        <is>
          <t>Sobre Pedido (Export)</t>
        </is>
      </c>
      <c r="H124" s="31" t="n">
        <v>81</v>
      </c>
      <c r="I124" s="31" t="n">
        <v>0</v>
      </c>
      <c r="J124" s="31" t="n">
        <v>0</v>
      </c>
      <c r="K124" s="31" t="n">
        <v>0</v>
      </c>
      <c r="L124" s="31" t="n">
        <v>5000</v>
      </c>
      <c r="M124" s="32" t="n">
        <v>5000</v>
      </c>
      <c r="N124" s="32" t="n">
        <v>5000</v>
      </c>
      <c r="O124" s="32" t="n">
        <v>4919</v>
      </c>
      <c r="P124" s="32" t="n">
        <v>4919</v>
      </c>
      <c r="Q124" s="24" t="inlineStr">
        <is>
          <t>SOBRE PEDIDO (EXP)</t>
        </is>
      </c>
    </row>
    <row r="125" ht="19" customHeight="1">
      <c r="A125" s="18" t="inlineStr">
        <is>
          <t>RUN0005</t>
        </is>
      </c>
      <c r="B125" s="33" t="inlineStr">
        <is>
          <t>RUN0005GE</t>
        </is>
      </c>
      <c r="C125" s="20" t="inlineStr">
        <is>
          <t>RUN STRESS, 5 L</t>
        </is>
      </c>
      <c r="D125" s="21" t="n">
        <v>5</v>
      </c>
      <c r="E125" s="20" t="inlineStr">
        <is>
          <t>Garrafas 5L</t>
        </is>
      </c>
      <c r="F125" s="19" t="inlineStr">
        <is>
          <t>GEORGIA</t>
        </is>
      </c>
      <c r="G125" s="34" t="inlineStr">
        <is>
          <t>Sobre Pedido (Export)</t>
        </is>
      </c>
      <c r="H125" s="22" t="n">
        <v>80</v>
      </c>
      <c r="I125" s="22" t="n">
        <v>0</v>
      </c>
      <c r="J125" s="22" t="n">
        <v>0</v>
      </c>
      <c r="K125" s="22" t="n">
        <v>0</v>
      </c>
      <c r="L125" s="22" t="n">
        <v>1000</v>
      </c>
      <c r="M125" s="23" t="n">
        <v>1000</v>
      </c>
      <c r="N125" s="23" t="n">
        <v>5000</v>
      </c>
      <c r="O125" s="23" t="n">
        <v>920</v>
      </c>
      <c r="P125" s="23" t="n">
        <v>4600</v>
      </c>
      <c r="Q125" s="24" t="inlineStr">
        <is>
          <t>SOBRE PEDIDO (EXP)</t>
        </is>
      </c>
    </row>
    <row r="126" ht="19" customHeight="1">
      <c r="A126" s="25" t="inlineStr">
        <is>
          <t>CZNMNES0005</t>
        </is>
      </c>
      <c r="B126" s="26" t="inlineStr">
        <is>
          <t>CZNMNES0005AZ</t>
        </is>
      </c>
      <c r="C126" s="27" t="inlineStr">
        <is>
          <t>CODIFOL ZN-MN, 5 KG</t>
        </is>
      </c>
      <c r="D126" s="28" t="n">
        <v>5</v>
      </c>
      <c r="E126" s="27" t="inlineStr">
        <is>
          <t>Garrafas 5L</t>
        </is>
      </c>
      <c r="F126" s="29" t="inlineStr">
        <is>
          <t>AZERBAIYÁN</t>
        </is>
      </c>
      <c r="G126" s="30" t="inlineStr">
        <is>
          <t>Sobre Pedido (Export)</t>
        </is>
      </c>
      <c r="H126" s="31" t="n">
        <v>105</v>
      </c>
      <c r="I126" s="31" t="n">
        <v>0</v>
      </c>
      <c r="J126" s="31" t="n">
        <v>0</v>
      </c>
      <c r="K126" s="31" t="n">
        <v>0</v>
      </c>
      <c r="L126" s="31" t="n">
        <v>1000</v>
      </c>
      <c r="M126" s="32" t="n">
        <v>1000</v>
      </c>
      <c r="N126" s="32" t="n">
        <v>5000</v>
      </c>
      <c r="O126" s="32" t="n">
        <v>895</v>
      </c>
      <c r="P126" s="32" t="n">
        <v>4475</v>
      </c>
      <c r="Q126" s="24" t="inlineStr">
        <is>
          <t>SOBRE PEDIDO (EXP)</t>
        </is>
      </c>
    </row>
    <row r="127" ht="19" customHeight="1">
      <c r="A127" s="18" t="inlineStr">
        <is>
          <t>AQUOM0020</t>
        </is>
      </c>
      <c r="B127" s="19" t="inlineStr">
        <is>
          <t>AQUOM0020</t>
        </is>
      </c>
      <c r="C127" s="20" t="inlineStr">
        <is>
          <t>AQUOM, 20 L</t>
        </is>
      </c>
      <c r="D127" s="21" t="n">
        <v>20</v>
      </c>
      <c r="E127" s="20" t="inlineStr">
        <is>
          <t>Garrafas 20L</t>
        </is>
      </c>
      <c r="F127" s="19" t="inlineStr">
        <is>
          <t>ESPAÑA</t>
        </is>
      </c>
      <c r="G127" s="19" t="inlineStr">
        <is>
          <t>Para Previsión (Nac)</t>
        </is>
      </c>
      <c r="H127" s="22" t="n">
        <v>0</v>
      </c>
      <c r="I127" s="22" t="n">
        <v>0</v>
      </c>
      <c r="J127" s="22" t="n">
        <v>100</v>
      </c>
      <c r="K127" s="22" t="n">
        <v>100</v>
      </c>
      <c r="L127" s="22" t="n">
        <v>0</v>
      </c>
      <c r="M127" s="23" t="n">
        <v>200</v>
      </c>
      <c r="N127" s="23" t="n">
        <v>4000</v>
      </c>
      <c r="O127" s="23" t="n">
        <v>200</v>
      </c>
      <c r="P127" s="23" t="n">
        <v>4000</v>
      </c>
      <c r="Q127" s="24" t="inlineStr">
        <is>
          <t>FABRICACIÓN URGENTE</t>
        </is>
      </c>
    </row>
    <row r="128" ht="19" customHeight="1">
      <c r="A128" s="25" t="inlineStr">
        <is>
          <t>SPCE20005</t>
        </is>
      </c>
      <c r="B128" s="26" t="inlineStr">
        <is>
          <t>SPCE20005CR</t>
        </is>
      </c>
      <c r="C128" s="27" t="inlineStr">
        <is>
          <t>SPRINTENE ZNMN 5L</t>
        </is>
      </c>
      <c r="D128" s="28" t="n">
        <v>5</v>
      </c>
      <c r="E128" s="27" t="inlineStr">
        <is>
          <t>Garrafas 5L</t>
        </is>
      </c>
      <c r="F128" s="29" t="inlineStr">
        <is>
          <t>COSTA RICA</t>
        </is>
      </c>
      <c r="G128" s="30" t="inlineStr">
        <is>
          <t>Sobre Pedido (Export)</t>
        </is>
      </c>
      <c r="H128" s="31" t="n">
        <v>0</v>
      </c>
      <c r="I128" s="31" t="n">
        <v>0</v>
      </c>
      <c r="J128" s="31" t="n">
        <v>400</v>
      </c>
      <c r="K128" s="31" t="n">
        <v>400</v>
      </c>
      <c r="L128" s="31" t="n">
        <v>0</v>
      </c>
      <c r="M128" s="32" t="n">
        <v>800</v>
      </c>
      <c r="N128" s="32" t="n">
        <v>4000</v>
      </c>
      <c r="O128" s="32" t="n">
        <v>800</v>
      </c>
      <c r="P128" s="32" t="n">
        <v>4000</v>
      </c>
      <c r="Q128" s="24" t="inlineStr">
        <is>
          <t>SOBRE PEDIDO (EXP)</t>
        </is>
      </c>
    </row>
    <row r="129" ht="19" customHeight="1">
      <c r="A129" s="18" t="inlineStr">
        <is>
          <t>CODIR0005</t>
        </is>
      </c>
      <c r="B129" s="33" t="inlineStr">
        <is>
          <t>CODIR0005PA</t>
        </is>
      </c>
      <c r="C129" s="20" t="inlineStr">
        <is>
          <t>CODIRESIST, 5 L</t>
        </is>
      </c>
      <c r="D129" s="21" t="n">
        <v>5</v>
      </c>
      <c r="E129" s="20" t="inlineStr">
        <is>
          <t>Garrafas 5L</t>
        </is>
      </c>
      <c r="F129" s="19" t="inlineStr">
        <is>
          <t>PANAMÁ</t>
        </is>
      </c>
      <c r="G129" s="34" t="inlineStr">
        <is>
          <t>Sobre Pedido (Export)</t>
        </is>
      </c>
      <c r="H129" s="22" t="n">
        <v>0</v>
      </c>
      <c r="I129" s="22" t="n">
        <v>0</v>
      </c>
      <c r="J129" s="22" t="n">
        <v>0</v>
      </c>
      <c r="K129" s="22" t="n">
        <v>0</v>
      </c>
      <c r="L129" s="22" t="n">
        <v>800</v>
      </c>
      <c r="M129" s="23" t="n">
        <v>800</v>
      </c>
      <c r="N129" s="23" t="n">
        <v>4000</v>
      </c>
      <c r="O129" s="23" t="n">
        <v>800</v>
      </c>
      <c r="P129" s="23" t="n">
        <v>4000</v>
      </c>
      <c r="Q129" s="24" t="inlineStr">
        <is>
          <t>SOBRE PEDIDO (EXP)</t>
        </is>
      </c>
    </row>
    <row r="130" ht="19" customHeight="1">
      <c r="A130" s="25" t="inlineStr">
        <is>
          <t>AVAN0005</t>
        </is>
      </c>
      <c r="B130" s="29" t="inlineStr">
        <is>
          <t>AVAN0005</t>
        </is>
      </c>
      <c r="C130" s="27" t="inlineStr">
        <is>
          <t>FLORAMEC AVANCE, 5 L</t>
        </is>
      </c>
      <c r="D130" s="28" t="n">
        <v>5</v>
      </c>
      <c r="E130" s="27" t="inlineStr">
        <is>
          <t>Garrafas 5L</t>
        </is>
      </c>
      <c r="F130" s="29" t="inlineStr">
        <is>
          <t>ESPAÑA</t>
        </is>
      </c>
      <c r="G130" s="29" t="inlineStr">
        <is>
          <t>Para Previsión (Nac)</t>
        </is>
      </c>
      <c r="H130" s="31" t="n">
        <v>3320</v>
      </c>
      <c r="I130" s="31" t="n">
        <v>0</v>
      </c>
      <c r="J130" s="31" t="n">
        <v>2200</v>
      </c>
      <c r="K130" s="31" t="n">
        <v>400</v>
      </c>
      <c r="L130" s="31" t="n">
        <v>1500</v>
      </c>
      <c r="M130" s="32" t="n">
        <v>4100</v>
      </c>
      <c r="N130" s="32" t="n">
        <v>20500</v>
      </c>
      <c r="O130" s="32" t="n">
        <v>780</v>
      </c>
      <c r="P130" s="32" t="n">
        <v>3900</v>
      </c>
      <c r="Q130" s="24" t="inlineStr">
        <is>
          <t>FABRICACIÓN URGENTE</t>
        </is>
      </c>
    </row>
    <row r="131" ht="19" customHeight="1">
      <c r="A131" s="18" t="inlineStr">
        <is>
          <t>AGN0005</t>
        </is>
      </c>
      <c r="B131" s="33" t="inlineStr">
        <is>
          <t>AGN0005MA</t>
        </is>
      </c>
      <c r="C131" s="20" t="inlineStr">
        <is>
          <t>AGROXILATO N, 5 L</t>
        </is>
      </c>
      <c r="D131" s="21" t="n">
        <v>5</v>
      </c>
      <c r="E131" s="20" t="inlineStr">
        <is>
          <t>Garrafas 5L</t>
        </is>
      </c>
      <c r="F131" s="19" t="inlineStr">
        <is>
          <t>MARRUECOS</t>
        </is>
      </c>
      <c r="G131" s="34" t="inlineStr">
        <is>
          <t>Sobre Pedido (Export)</t>
        </is>
      </c>
      <c r="H131" s="22" t="n">
        <v>0</v>
      </c>
      <c r="I131" s="22" t="n">
        <v>0</v>
      </c>
      <c r="J131" s="22" t="n">
        <v>600</v>
      </c>
      <c r="K131" s="22" t="n">
        <v>0</v>
      </c>
      <c r="L131" s="22" t="n">
        <v>0</v>
      </c>
      <c r="M131" s="23" t="n">
        <v>600</v>
      </c>
      <c r="N131" s="23" t="n">
        <v>3000</v>
      </c>
      <c r="O131" s="23" t="n">
        <v>600</v>
      </c>
      <c r="P131" s="23" t="n">
        <v>3000</v>
      </c>
      <c r="Q131" s="24" t="inlineStr">
        <is>
          <t>SOBRE PEDIDO (EXP)</t>
        </is>
      </c>
    </row>
    <row r="132" ht="19" customHeight="1">
      <c r="A132" s="25" t="inlineStr">
        <is>
          <t>BROTA0020</t>
        </is>
      </c>
      <c r="B132" s="29" t="inlineStr">
        <is>
          <t>BROTA0020</t>
        </is>
      </c>
      <c r="C132" s="27" t="inlineStr">
        <is>
          <t>BROTAMEC, 20 L</t>
        </is>
      </c>
      <c r="D132" s="28" t="n">
        <v>20</v>
      </c>
      <c r="E132" s="27" t="inlineStr">
        <is>
          <t>Garrafas 20L</t>
        </is>
      </c>
      <c r="F132" s="29" t="inlineStr">
        <is>
          <t>ESPAÑA</t>
        </is>
      </c>
      <c r="G132" s="29" t="inlineStr">
        <is>
          <t>Para Previsión (Nac)</t>
        </is>
      </c>
      <c r="H132" s="31" t="n">
        <v>2100</v>
      </c>
      <c r="I132" s="31" t="n">
        <v>0</v>
      </c>
      <c r="J132" s="31" t="n">
        <v>1280</v>
      </c>
      <c r="K132" s="31" t="n">
        <v>0</v>
      </c>
      <c r="L132" s="31" t="n">
        <v>960</v>
      </c>
      <c r="M132" s="32" t="n">
        <v>2240</v>
      </c>
      <c r="N132" s="32" t="n">
        <v>44800</v>
      </c>
      <c r="O132" s="32" t="n">
        <v>140</v>
      </c>
      <c r="P132" s="32" t="n">
        <v>2800</v>
      </c>
      <c r="Q132" s="24" t="inlineStr">
        <is>
          <t>FABRICACIÓN URGENTE</t>
        </is>
      </c>
    </row>
    <row r="133" ht="19" customHeight="1">
      <c r="A133" s="18" t="inlineStr">
        <is>
          <t>C-MB0005</t>
        </is>
      </c>
      <c r="B133" s="19" t="inlineStr">
        <is>
          <t>C-MB0005</t>
        </is>
      </c>
      <c r="C133" s="20" t="inlineStr">
        <is>
          <t>CODIFOL-MB</t>
        </is>
      </c>
      <c r="D133" s="21" t="n">
        <v>5</v>
      </c>
      <c r="E133" s="20" t="inlineStr">
        <is>
          <t>Garrafas 5L</t>
        </is>
      </c>
      <c r="F133" s="19" t="inlineStr">
        <is>
          <t>ESPAÑA</t>
        </is>
      </c>
      <c r="G133" s="19" t="inlineStr">
        <is>
          <t>Para Previsión (Nac)</t>
        </is>
      </c>
      <c r="H133" s="22" t="n">
        <v>1040</v>
      </c>
      <c r="I133" s="22" t="n">
        <v>0</v>
      </c>
      <c r="J133" s="22" t="n">
        <v>800</v>
      </c>
      <c r="K133" s="22" t="n">
        <v>0</v>
      </c>
      <c r="L133" s="22" t="n">
        <v>800</v>
      </c>
      <c r="M133" s="23" t="n">
        <v>1600</v>
      </c>
      <c r="N133" s="23" t="n">
        <v>8000</v>
      </c>
      <c r="O133" s="23" t="n">
        <v>560</v>
      </c>
      <c r="P133" s="23" t="n">
        <v>2800</v>
      </c>
      <c r="Q133" s="24" t="inlineStr">
        <is>
          <t>FABRICACIÓN URGENTE</t>
        </is>
      </c>
    </row>
    <row r="134" ht="19" customHeight="1">
      <c r="A134" s="25" t="inlineStr">
        <is>
          <t>LP0005</t>
        </is>
      </c>
      <c r="B134" s="26" t="inlineStr">
        <is>
          <t>LP0005DO</t>
        </is>
      </c>
      <c r="C134" s="27" t="inlineStr">
        <is>
          <t>LAVAPLANT, 5 L</t>
        </is>
      </c>
      <c r="D134" s="28" t="n">
        <v>5</v>
      </c>
      <c r="E134" s="27" t="inlineStr">
        <is>
          <t>Garrafas 5L</t>
        </is>
      </c>
      <c r="F134" s="29" t="inlineStr">
        <is>
          <t>DOMINICANA, REPÚBLICA</t>
        </is>
      </c>
      <c r="G134" s="30" t="inlineStr">
        <is>
          <t>Sobre Pedido (Export)</t>
        </is>
      </c>
      <c r="H134" s="31" t="n">
        <v>0</v>
      </c>
      <c r="I134" s="31" t="n">
        <v>0</v>
      </c>
      <c r="J134" s="31" t="n">
        <v>0</v>
      </c>
      <c r="K134" s="31" t="n">
        <v>500</v>
      </c>
      <c r="L134" s="31" t="n">
        <v>0</v>
      </c>
      <c r="M134" s="32" t="n">
        <v>500</v>
      </c>
      <c r="N134" s="32" t="n">
        <v>2500</v>
      </c>
      <c r="O134" s="32" t="n">
        <v>500</v>
      </c>
      <c r="P134" s="32" t="n">
        <v>2500</v>
      </c>
      <c r="Q134" s="24" t="inlineStr">
        <is>
          <t>SOBRE PEDIDO (EXP)</t>
        </is>
      </c>
    </row>
    <row r="135" ht="19" customHeight="1">
      <c r="A135" s="18" t="inlineStr">
        <is>
          <t>SSEG0005</t>
        </is>
      </c>
      <c r="B135" s="33" t="inlineStr">
        <is>
          <t>SSEG0005CO</t>
        </is>
      </c>
      <c r="C135" s="20" t="inlineStr">
        <is>
          <t>SALWAX CALCIO EGIPTO, 5 KG</t>
        </is>
      </c>
      <c r="D135" s="21" t="n">
        <v>5</v>
      </c>
      <c r="E135" s="20" t="inlineStr">
        <is>
          <t>Garrafas 5L</t>
        </is>
      </c>
      <c r="F135" s="19" t="inlineStr">
        <is>
          <t>COLOMBIA</t>
        </is>
      </c>
      <c r="G135" s="34" t="inlineStr">
        <is>
          <t>Sobre Pedido (Export)</t>
        </is>
      </c>
      <c r="H135" s="22" t="n">
        <v>0</v>
      </c>
      <c r="I135" s="22" t="n">
        <v>480</v>
      </c>
      <c r="J135" s="22" t="n">
        <v>0</v>
      </c>
      <c r="K135" s="22" t="n">
        <v>0</v>
      </c>
      <c r="L135" s="22" t="n">
        <v>0</v>
      </c>
      <c r="M135" s="23" t="n">
        <v>480</v>
      </c>
      <c r="N135" s="23" t="n">
        <v>2400</v>
      </c>
      <c r="O135" s="23" t="n">
        <v>480</v>
      </c>
      <c r="P135" s="23" t="n">
        <v>2400</v>
      </c>
      <c r="Q135" s="24" t="inlineStr">
        <is>
          <t>SOBRE PEDIDO (EXP)</t>
        </is>
      </c>
    </row>
    <row r="136" ht="19" customHeight="1">
      <c r="A136" s="25" t="inlineStr">
        <is>
          <t>C-CU0001</t>
        </is>
      </c>
      <c r="B136" s="26" t="inlineStr">
        <is>
          <t>C-CU0001EC</t>
        </is>
      </c>
      <c r="C136" s="27" t="inlineStr">
        <is>
          <t>CODICOBRE</t>
        </is>
      </c>
      <c r="D136" s="28" t="n">
        <v>1</v>
      </c>
      <c r="E136" s="27" t="inlineStr">
        <is>
          <t>Botellas 1L</t>
        </is>
      </c>
      <c r="F136" s="29" t="inlineStr">
        <is>
          <t>ECUADOR (INCLUIDAS LAS ISLAS GALÁPAGOS)</t>
        </is>
      </c>
      <c r="G136" s="30" t="inlineStr">
        <is>
          <t>Sobre Pedido (Export)</t>
        </is>
      </c>
      <c r="H136" s="31" t="n">
        <v>0</v>
      </c>
      <c r="I136" s="31" t="n">
        <v>0</v>
      </c>
      <c r="J136" s="31" t="n">
        <v>2376</v>
      </c>
      <c r="K136" s="31" t="n">
        <v>0</v>
      </c>
      <c r="L136" s="31" t="n">
        <v>0</v>
      </c>
      <c r="M136" s="32" t="n">
        <v>2376</v>
      </c>
      <c r="N136" s="32" t="n">
        <v>2376</v>
      </c>
      <c r="O136" s="32" t="n">
        <v>2376</v>
      </c>
      <c r="P136" s="32" t="n">
        <v>2376</v>
      </c>
      <c r="Q136" s="24" t="inlineStr">
        <is>
          <t>SOBRE PEDIDO (EXP)</t>
        </is>
      </c>
    </row>
    <row r="137" ht="19" customHeight="1">
      <c r="A137" s="18" t="inlineStr">
        <is>
          <t>TRI0005</t>
        </is>
      </c>
      <c r="B137" s="19" t="inlineStr">
        <is>
          <t>TRI0005</t>
        </is>
      </c>
      <c r="C137" s="20" t="inlineStr">
        <is>
          <t>TRIFENO-94, 5L</t>
        </is>
      </c>
      <c r="D137" s="21" t="n">
        <v>5</v>
      </c>
      <c r="E137" s="20" t="inlineStr">
        <is>
          <t>Garrafas 5L</t>
        </is>
      </c>
      <c r="F137" s="19" t="inlineStr">
        <is>
          <t>ESPAÑA</t>
        </is>
      </c>
      <c r="G137" s="19" t="inlineStr">
        <is>
          <t>Para Previsión (Nac)</t>
        </is>
      </c>
      <c r="H137" s="22" t="n">
        <v>900</v>
      </c>
      <c r="I137" s="22" t="n">
        <v>20</v>
      </c>
      <c r="J137" s="22" t="n">
        <v>480</v>
      </c>
      <c r="K137" s="22" t="n">
        <v>400</v>
      </c>
      <c r="L137" s="22" t="n">
        <v>440</v>
      </c>
      <c r="M137" s="23" t="n">
        <v>1340</v>
      </c>
      <c r="N137" s="23" t="n">
        <v>6700</v>
      </c>
      <c r="O137" s="23" t="n">
        <v>440</v>
      </c>
      <c r="P137" s="23" t="n">
        <v>2200</v>
      </c>
      <c r="Q137" s="24" t="inlineStr">
        <is>
          <t>FABRICACIÓN URGENTE</t>
        </is>
      </c>
    </row>
    <row r="138" ht="19" customHeight="1">
      <c r="A138" s="25" t="inlineStr">
        <is>
          <t>ANAE0005</t>
        </is>
      </c>
      <c r="B138" s="29" t="inlineStr">
        <is>
          <t>ANAE0005</t>
        </is>
      </c>
      <c r="C138" s="27" t="inlineStr">
        <is>
          <t>ALCAPLANT NEW AE, 5 KG</t>
        </is>
      </c>
      <c r="D138" s="28" t="n">
        <v>5</v>
      </c>
      <c r="E138" s="27" t="inlineStr">
        <is>
          <t>Garrafas 5L</t>
        </is>
      </c>
      <c r="F138" s="29" t="inlineStr">
        <is>
          <t>ESPAÑA</t>
        </is>
      </c>
      <c r="G138" s="29" t="inlineStr">
        <is>
          <t>Para Previsión (Nac)</t>
        </is>
      </c>
      <c r="H138" s="31" t="n">
        <v>12840</v>
      </c>
      <c r="I138" s="31" t="n">
        <v>2200</v>
      </c>
      <c r="J138" s="31" t="n">
        <v>4400</v>
      </c>
      <c r="K138" s="31" t="n">
        <v>6650</v>
      </c>
      <c r="L138" s="31" t="n">
        <v>0</v>
      </c>
      <c r="M138" s="32" t="n">
        <v>13250</v>
      </c>
      <c r="N138" s="32" t="n">
        <v>66250</v>
      </c>
      <c r="O138" s="32" t="n">
        <v>410</v>
      </c>
      <c r="P138" s="32" t="n">
        <v>2050</v>
      </c>
      <c r="Q138" s="24" t="inlineStr">
        <is>
          <t>FABRICACIÓN URGENTE</t>
        </is>
      </c>
    </row>
    <row r="139" ht="19" customHeight="1">
      <c r="A139" s="18" t="inlineStr">
        <is>
          <t>CM3M0001</t>
        </is>
      </c>
      <c r="B139" s="33" t="inlineStr">
        <is>
          <t>CM3M0001AZ</t>
        </is>
      </c>
      <c r="C139" s="20" t="inlineStr">
        <is>
          <t>TENSOLINE-MAX, 1 L</t>
        </is>
      </c>
      <c r="D139" s="21" t="n">
        <v>1</v>
      </c>
      <c r="E139" s="20" t="inlineStr">
        <is>
          <t>Botellas 1L</t>
        </is>
      </c>
      <c r="F139" s="19" t="inlineStr">
        <is>
          <t>AZERBAIYÁN</t>
        </is>
      </c>
      <c r="G139" s="34" t="inlineStr">
        <is>
          <t>Sobre Pedido (Export)</t>
        </is>
      </c>
      <c r="H139" s="22" t="n">
        <v>0</v>
      </c>
      <c r="I139" s="22" t="n">
        <v>0</v>
      </c>
      <c r="J139" s="22" t="n">
        <v>0</v>
      </c>
      <c r="K139" s="22" t="n">
        <v>0</v>
      </c>
      <c r="L139" s="22" t="n">
        <v>2000</v>
      </c>
      <c r="M139" s="23" t="n">
        <v>2000</v>
      </c>
      <c r="N139" s="23" t="n">
        <v>2000</v>
      </c>
      <c r="O139" s="23" t="n">
        <v>2000</v>
      </c>
      <c r="P139" s="23" t="n">
        <v>2000</v>
      </c>
      <c r="Q139" s="24" t="inlineStr">
        <is>
          <t>SOBRE PEDIDO (EXP)</t>
        </is>
      </c>
    </row>
    <row r="140" ht="19" customHeight="1">
      <c r="A140" s="25" t="inlineStr">
        <is>
          <t>A-50(2)0001</t>
        </is>
      </c>
      <c r="B140" s="26" t="inlineStr">
        <is>
          <t>A-50(2)0001RS</t>
        </is>
      </c>
      <c r="C140" s="27" t="inlineStr">
        <is>
          <t>CODIORGAN-A50</t>
        </is>
      </c>
      <c r="D140" s="28" t="n">
        <v>1</v>
      </c>
      <c r="E140" s="27" t="inlineStr">
        <is>
          <t>Botellas 1L</t>
        </is>
      </c>
      <c r="F140" s="29" t="inlineStr">
        <is>
          <t>SERBIA</t>
        </is>
      </c>
      <c r="G140" s="30" t="inlineStr">
        <is>
          <t>Sobre Pedido (Export)</t>
        </is>
      </c>
      <c r="H140" s="31" t="n">
        <v>0</v>
      </c>
      <c r="I140" s="31" t="n">
        <v>0</v>
      </c>
      <c r="J140" s="31" t="n">
        <v>0</v>
      </c>
      <c r="K140" s="31" t="n">
        <v>0</v>
      </c>
      <c r="L140" s="31" t="n">
        <v>2000</v>
      </c>
      <c r="M140" s="32" t="n">
        <v>2000</v>
      </c>
      <c r="N140" s="32" t="n">
        <v>2000</v>
      </c>
      <c r="O140" s="32" t="n">
        <v>2000</v>
      </c>
      <c r="P140" s="32" t="n">
        <v>2000</v>
      </c>
      <c r="Q140" s="24" t="inlineStr">
        <is>
          <t>SOBRE PEDIDO (EXP)</t>
        </is>
      </c>
    </row>
    <row r="141" ht="19" customHeight="1">
      <c r="A141" s="18" t="inlineStr">
        <is>
          <t>FLORCR0005</t>
        </is>
      </c>
      <c r="B141" s="33" t="inlineStr">
        <is>
          <t>FLORCR0005PA</t>
        </is>
      </c>
      <c r="C141" s="20" t="inlineStr">
        <is>
          <t>FLORAMEC</t>
        </is>
      </c>
      <c r="D141" s="21" t="n">
        <v>5</v>
      </c>
      <c r="E141" s="20" t="inlineStr">
        <is>
          <t>Garrafas 5L</t>
        </is>
      </c>
      <c r="F141" s="19" t="inlineStr">
        <is>
          <t>PANAMÁ</t>
        </is>
      </c>
      <c r="G141" s="34" t="inlineStr">
        <is>
          <t>Sobre Pedido (Export)</t>
        </is>
      </c>
      <c r="H141" s="22" t="n">
        <v>0</v>
      </c>
      <c r="I141" s="22" t="n">
        <v>0</v>
      </c>
      <c r="J141" s="22" t="n">
        <v>0</v>
      </c>
      <c r="K141" s="22" t="n">
        <v>0</v>
      </c>
      <c r="L141" s="22" t="n">
        <v>400</v>
      </c>
      <c r="M141" s="23" t="n">
        <v>400</v>
      </c>
      <c r="N141" s="23" t="n">
        <v>2000</v>
      </c>
      <c r="O141" s="23" t="n">
        <v>400</v>
      </c>
      <c r="P141" s="23" t="n">
        <v>2000</v>
      </c>
      <c r="Q141" s="24" t="inlineStr">
        <is>
          <t>SOBRE PEDIDO (EXP)</t>
        </is>
      </c>
    </row>
    <row r="142" ht="19" customHeight="1">
      <c r="A142" s="25" t="inlineStr">
        <is>
          <t>LP0001</t>
        </is>
      </c>
      <c r="B142" s="26" t="inlineStr">
        <is>
          <t>LP0001DO</t>
        </is>
      </c>
      <c r="C142" s="27" t="inlineStr">
        <is>
          <t>LAVAPLANT GRANEL</t>
        </is>
      </c>
      <c r="D142" s="28" t="n">
        <v>1</v>
      </c>
      <c r="E142" s="27" t="inlineStr">
        <is>
          <t>Botellas 1L</t>
        </is>
      </c>
      <c r="F142" s="29" t="inlineStr">
        <is>
          <t>DOMINICANA, REPÚBLICA</t>
        </is>
      </c>
      <c r="G142" s="30" t="inlineStr">
        <is>
          <t>Sobre Pedido (Export)</t>
        </is>
      </c>
      <c r="H142" s="31" t="n">
        <v>0</v>
      </c>
      <c r="I142" s="31" t="n">
        <v>0</v>
      </c>
      <c r="J142" s="31" t="n">
        <v>0</v>
      </c>
      <c r="K142" s="31" t="n">
        <v>2000</v>
      </c>
      <c r="L142" s="31" t="n">
        <v>0</v>
      </c>
      <c r="M142" s="32" t="n">
        <v>2000</v>
      </c>
      <c r="N142" s="32" t="n">
        <v>2000</v>
      </c>
      <c r="O142" s="32" t="n">
        <v>2000</v>
      </c>
      <c r="P142" s="32" t="n">
        <v>2000</v>
      </c>
      <c r="Q142" s="24" t="inlineStr">
        <is>
          <t>SOBRE PEDIDO (EXP)</t>
        </is>
      </c>
    </row>
    <row r="143" ht="19" customHeight="1">
      <c r="A143" s="18" t="inlineStr">
        <is>
          <t>START20001</t>
        </is>
      </c>
      <c r="B143" s="33" t="inlineStr">
        <is>
          <t>START20001DO</t>
        </is>
      </c>
      <c r="C143" s="20" t="inlineStr">
        <is>
          <t>RADISOL</t>
        </is>
      </c>
      <c r="D143" s="21" t="n">
        <v>1</v>
      </c>
      <c r="E143" s="20" t="inlineStr">
        <is>
          <t>Botellas 1L</t>
        </is>
      </c>
      <c r="F143" s="19" t="inlineStr">
        <is>
          <t>DOMINICANA, REPÚBLICA</t>
        </is>
      </c>
      <c r="G143" s="34" t="inlineStr">
        <is>
          <t>Sobre Pedido (Export)</t>
        </is>
      </c>
      <c r="H143" s="22" t="n">
        <v>0</v>
      </c>
      <c r="I143" s="22" t="n">
        <v>0</v>
      </c>
      <c r="J143" s="22" t="n">
        <v>0</v>
      </c>
      <c r="K143" s="22" t="n">
        <v>2000</v>
      </c>
      <c r="L143" s="22" t="n">
        <v>0</v>
      </c>
      <c r="M143" s="23" t="n">
        <v>2000</v>
      </c>
      <c r="N143" s="23" t="n">
        <v>2000</v>
      </c>
      <c r="O143" s="23" t="n">
        <v>2000</v>
      </c>
      <c r="P143" s="23" t="n">
        <v>2000</v>
      </c>
      <c r="Q143" s="24" t="inlineStr">
        <is>
          <t>SOBRE PEDIDO (EXP)</t>
        </is>
      </c>
    </row>
    <row r="144" ht="19" customHeight="1">
      <c r="A144" s="25" t="inlineStr">
        <is>
          <t>G0005PAPA</t>
        </is>
      </c>
      <c r="B144" s="29" t="inlineStr">
        <is>
          <t>G0005PAPA</t>
        </is>
      </c>
      <c r="C144" s="27" t="inlineStr">
        <is>
          <t>TRANSLOCADOR</t>
        </is>
      </c>
      <c r="D144" s="28" t="n">
        <v>5</v>
      </c>
      <c r="E144" s="27" t="inlineStr">
        <is>
          <t>Garrafas 5L</t>
        </is>
      </c>
      <c r="F144" s="29" t="inlineStr">
        <is>
          <t>PANAMÁ</t>
        </is>
      </c>
      <c r="G144" s="30" t="inlineStr">
        <is>
          <t>Sobre Pedido (Export)</t>
        </is>
      </c>
      <c r="H144" s="31" t="n">
        <v>0</v>
      </c>
      <c r="I144" s="31" t="n">
        <v>0</v>
      </c>
      <c r="J144" s="31" t="n">
        <v>0</v>
      </c>
      <c r="K144" s="31" t="n">
        <v>0</v>
      </c>
      <c r="L144" s="31" t="n">
        <v>400</v>
      </c>
      <c r="M144" s="32" t="n">
        <v>400</v>
      </c>
      <c r="N144" s="32" t="n">
        <v>2000</v>
      </c>
      <c r="O144" s="32" t="n">
        <v>400</v>
      </c>
      <c r="P144" s="32" t="n">
        <v>2000</v>
      </c>
      <c r="Q144" s="24" t="inlineStr">
        <is>
          <t>SOBRE PEDIDO (EXP)</t>
        </is>
      </c>
    </row>
    <row r="145" ht="19" customHeight="1">
      <c r="A145" s="18" t="inlineStr">
        <is>
          <t>A-500001</t>
        </is>
      </c>
      <c r="B145" s="33" t="inlineStr">
        <is>
          <t>A-500001GE</t>
        </is>
      </c>
      <c r="C145" s="20" t="inlineStr">
        <is>
          <t>CODIORGAN-A50, 1 KG</t>
        </is>
      </c>
      <c r="D145" s="21" t="n">
        <v>1</v>
      </c>
      <c r="E145" s="20" t="inlineStr">
        <is>
          <t>Botellas 1L</t>
        </is>
      </c>
      <c r="F145" s="19" t="inlineStr">
        <is>
          <t>GEORGIA</t>
        </is>
      </c>
      <c r="G145" s="34" t="inlineStr">
        <is>
          <t>Sobre Pedido (Export)</t>
        </is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1920</v>
      </c>
      <c r="M145" s="23" t="n">
        <v>1920</v>
      </c>
      <c r="N145" s="23" t="n">
        <v>1920</v>
      </c>
      <c r="O145" s="23" t="n">
        <v>1920</v>
      </c>
      <c r="P145" s="23" t="n">
        <v>1920</v>
      </c>
      <c r="Q145" s="24" t="inlineStr">
        <is>
          <t>SOBRE PEDIDO (EXP)</t>
        </is>
      </c>
    </row>
    <row r="146" ht="19" customHeight="1">
      <c r="A146" s="25" t="inlineStr">
        <is>
          <t>AGZNP0001</t>
        </is>
      </c>
      <c r="B146" s="26" t="inlineStr">
        <is>
          <t>AGZNP0001EG</t>
        </is>
      </c>
      <c r="C146" s="27" t="inlineStr">
        <is>
          <t>AGROXILATO-ZN PLUS</t>
        </is>
      </c>
      <c r="D146" s="28" t="n">
        <v>1</v>
      </c>
      <c r="E146" s="27" t="inlineStr">
        <is>
          <t>Botellas 1L</t>
        </is>
      </c>
      <c r="F146" s="29" t="inlineStr">
        <is>
          <t>EGIPTO</t>
        </is>
      </c>
      <c r="G146" s="30" t="inlineStr">
        <is>
          <t>Sobre Pedido (Export)</t>
        </is>
      </c>
      <c r="H146" s="31" t="n">
        <v>128</v>
      </c>
      <c r="I146" s="31" t="n">
        <v>0</v>
      </c>
      <c r="J146" s="31" t="n">
        <v>2000</v>
      </c>
      <c r="K146" s="31" t="n">
        <v>0</v>
      </c>
      <c r="L146" s="31" t="n">
        <v>0</v>
      </c>
      <c r="M146" s="32" t="n">
        <v>2000</v>
      </c>
      <c r="N146" s="32" t="n">
        <v>2000</v>
      </c>
      <c r="O146" s="32" t="n">
        <v>1872</v>
      </c>
      <c r="P146" s="32" t="n">
        <v>1872</v>
      </c>
      <c r="Q146" s="24" t="inlineStr">
        <is>
          <t>SOBRE PEDIDO (EXP)</t>
        </is>
      </c>
    </row>
    <row r="147" ht="19" customHeight="1">
      <c r="A147" s="18" t="inlineStr">
        <is>
          <t>C-CU0005</t>
        </is>
      </c>
      <c r="B147" s="33" t="inlineStr">
        <is>
          <t>C-CU0005GE</t>
        </is>
      </c>
      <c r="C147" s="20" t="inlineStr">
        <is>
          <t>CODICOBRE, 5 L</t>
        </is>
      </c>
      <c r="D147" s="21" t="n">
        <v>5</v>
      </c>
      <c r="E147" s="20" t="inlineStr">
        <is>
          <t>Garrafas 5L</t>
        </is>
      </c>
      <c r="F147" s="19" t="inlineStr">
        <is>
          <t>GEORGIA</t>
        </is>
      </c>
      <c r="G147" s="34" t="inlineStr">
        <is>
          <t>Sobre Pedido (Export)</t>
        </is>
      </c>
      <c r="H147" s="22" t="n">
        <v>640</v>
      </c>
      <c r="I147" s="22" t="n">
        <v>0</v>
      </c>
      <c r="J147" s="22" t="n">
        <v>0</v>
      </c>
      <c r="K147" s="22" t="n">
        <v>0</v>
      </c>
      <c r="L147" s="22" t="n">
        <v>1000</v>
      </c>
      <c r="M147" s="23" t="n">
        <v>1000</v>
      </c>
      <c r="N147" s="23" t="n">
        <v>5000</v>
      </c>
      <c r="O147" s="23" t="n">
        <v>360</v>
      </c>
      <c r="P147" s="23" t="n">
        <v>1800</v>
      </c>
      <c r="Q147" s="24" t="inlineStr">
        <is>
          <t>SOBRE PEDIDO (EXP)</t>
        </is>
      </c>
    </row>
    <row r="148" ht="19" customHeight="1">
      <c r="A148" s="25" t="inlineStr">
        <is>
          <t>CODIR0001</t>
        </is>
      </c>
      <c r="B148" s="26" t="inlineStr">
        <is>
          <t>CODIR0001PA</t>
        </is>
      </c>
      <c r="C148" s="27" t="inlineStr">
        <is>
          <t>CODIRESIST, 1 L</t>
        </is>
      </c>
      <c r="D148" s="28" t="n">
        <v>1</v>
      </c>
      <c r="E148" s="27" t="inlineStr">
        <is>
          <t>Botellas 1L</t>
        </is>
      </c>
      <c r="F148" s="29" t="inlineStr">
        <is>
          <t>PANAMÁ</t>
        </is>
      </c>
      <c r="G148" s="30" t="inlineStr">
        <is>
          <t>Sobre Pedido (Export)</t>
        </is>
      </c>
      <c r="H148" s="31" t="n">
        <v>23</v>
      </c>
      <c r="I148" s="31" t="n">
        <v>0</v>
      </c>
      <c r="J148" s="31" t="n">
        <v>0</v>
      </c>
      <c r="K148" s="31" t="n">
        <v>0</v>
      </c>
      <c r="L148" s="31" t="n">
        <v>1584</v>
      </c>
      <c r="M148" s="32" t="n">
        <v>1584</v>
      </c>
      <c r="N148" s="32" t="n">
        <v>1584</v>
      </c>
      <c r="O148" s="32" t="n">
        <v>1561</v>
      </c>
      <c r="P148" s="32" t="n">
        <v>1561</v>
      </c>
      <c r="Q148" s="24" t="inlineStr">
        <is>
          <t>SOBRE PEDIDO (EXP)</t>
        </is>
      </c>
    </row>
    <row r="149" ht="19" customHeight="1">
      <c r="A149" s="18" t="inlineStr">
        <is>
          <t>JF0005</t>
        </is>
      </c>
      <c r="B149" s="33" t="inlineStr">
        <is>
          <t>JF0005MA</t>
        </is>
      </c>
      <c r="C149" s="20" t="inlineStr">
        <is>
          <t>CODIGIN-FOS, 5 L</t>
        </is>
      </c>
      <c r="D149" s="21" t="n">
        <v>5</v>
      </c>
      <c r="E149" s="20" t="inlineStr">
        <is>
          <t>Garrafas 5L</t>
        </is>
      </c>
      <c r="F149" s="19" t="inlineStr">
        <is>
          <t>MARRUECOS</t>
        </is>
      </c>
      <c r="G149" s="34" t="inlineStr">
        <is>
          <t>Sobre Pedido (Export)</t>
        </is>
      </c>
      <c r="H149" s="22" t="n">
        <v>690</v>
      </c>
      <c r="I149" s="22" t="n">
        <v>0</v>
      </c>
      <c r="J149" s="22" t="n">
        <v>0</v>
      </c>
      <c r="K149" s="22" t="n">
        <v>0</v>
      </c>
      <c r="L149" s="22" t="n">
        <v>1000</v>
      </c>
      <c r="M149" s="23" t="n">
        <v>1000</v>
      </c>
      <c r="N149" s="23" t="n">
        <v>5000</v>
      </c>
      <c r="O149" s="23" t="n">
        <v>310</v>
      </c>
      <c r="P149" s="23" t="n">
        <v>1550</v>
      </c>
      <c r="Q149" s="24" t="inlineStr">
        <is>
          <t>SOBRE PEDIDO (EXP)</t>
        </is>
      </c>
    </row>
    <row r="150" ht="19" customHeight="1">
      <c r="A150" s="25" t="inlineStr">
        <is>
          <t>MPH0005</t>
        </is>
      </c>
      <c r="B150" s="26" t="inlineStr">
        <is>
          <t>MPH0005DO</t>
        </is>
      </c>
      <c r="C150" s="27" t="inlineStr">
        <is>
          <t>MOJALINE NL, 5 L</t>
        </is>
      </c>
      <c r="D150" s="28" t="n">
        <v>5</v>
      </c>
      <c r="E150" s="27" t="inlineStr">
        <is>
          <t>Garrafas 5L</t>
        </is>
      </c>
      <c r="F150" s="29" t="inlineStr">
        <is>
          <t>DOMINICANA, REPÚBLICA</t>
        </is>
      </c>
      <c r="G150" s="30" t="inlineStr">
        <is>
          <t>Sobre Pedido (Export)</t>
        </is>
      </c>
      <c r="H150" s="31" t="n">
        <v>0</v>
      </c>
      <c r="I150" s="31" t="n">
        <v>0</v>
      </c>
      <c r="J150" s="31" t="n">
        <v>0</v>
      </c>
      <c r="K150" s="31" t="n">
        <v>300</v>
      </c>
      <c r="L150" s="31" t="n">
        <v>0</v>
      </c>
      <c r="M150" s="32" t="n">
        <v>300</v>
      </c>
      <c r="N150" s="32" t="n">
        <v>1500</v>
      </c>
      <c r="O150" s="32" t="n">
        <v>300</v>
      </c>
      <c r="P150" s="32" t="n">
        <v>1500</v>
      </c>
      <c r="Q150" s="24" t="inlineStr">
        <is>
          <t>SOBRE PEDIDO (EXP)</t>
        </is>
      </c>
    </row>
    <row r="151" ht="19" customHeight="1">
      <c r="A151" s="18" t="inlineStr">
        <is>
          <t>PT0001</t>
        </is>
      </c>
      <c r="B151" s="33" t="inlineStr">
        <is>
          <t>PT0001DO</t>
        </is>
      </c>
      <c r="C151" s="20" t="inlineStr">
        <is>
          <t>AGROPOTASION, 1 L</t>
        </is>
      </c>
      <c r="D151" s="21" t="n">
        <v>1</v>
      </c>
      <c r="E151" s="20" t="inlineStr">
        <is>
          <t>Botellas 1L</t>
        </is>
      </c>
      <c r="F151" s="19" t="inlineStr">
        <is>
          <t>DOMINICANA, REPÚBLICA</t>
        </is>
      </c>
      <c r="G151" s="34" t="inlineStr">
        <is>
          <t>Sobre Pedido (Export)</t>
        </is>
      </c>
      <c r="H151" s="22" t="n">
        <v>504</v>
      </c>
      <c r="I151" s="22" t="n">
        <v>0</v>
      </c>
      <c r="J151" s="22" t="n">
        <v>0</v>
      </c>
      <c r="K151" s="22" t="n">
        <v>2000</v>
      </c>
      <c r="L151" s="22" t="n">
        <v>0</v>
      </c>
      <c r="M151" s="23" t="n">
        <v>2000</v>
      </c>
      <c r="N151" s="23" t="n">
        <v>2000</v>
      </c>
      <c r="O151" s="23" t="n">
        <v>1496</v>
      </c>
      <c r="P151" s="23" t="n">
        <v>1496</v>
      </c>
      <c r="Q151" s="24" t="inlineStr">
        <is>
          <t>SOBRE PEDIDO (EXP)</t>
        </is>
      </c>
    </row>
    <row r="152" ht="19" customHeight="1">
      <c r="A152" s="25" t="inlineStr">
        <is>
          <t>SS0001</t>
        </is>
      </c>
      <c r="B152" s="26" t="inlineStr">
        <is>
          <t>SS0001CR</t>
        </is>
      </c>
      <c r="C152" s="27" t="inlineStr">
        <is>
          <t>SAL-WAX Ca</t>
        </is>
      </c>
      <c r="D152" s="28" t="n">
        <v>1</v>
      </c>
      <c r="E152" s="27" t="inlineStr">
        <is>
          <t>Botellas 1L</t>
        </is>
      </c>
      <c r="F152" s="29" t="inlineStr">
        <is>
          <t>COSTA RICA</t>
        </is>
      </c>
      <c r="G152" s="30" t="inlineStr">
        <is>
          <t>Sobre Pedido (Export)</t>
        </is>
      </c>
      <c r="H152" s="31" t="n">
        <v>0</v>
      </c>
      <c r="I152" s="31" t="n">
        <v>0</v>
      </c>
      <c r="J152" s="31" t="n">
        <v>1056</v>
      </c>
      <c r="K152" s="31" t="n">
        <v>0</v>
      </c>
      <c r="L152" s="31" t="n">
        <v>400</v>
      </c>
      <c r="M152" s="32" t="n">
        <v>1456</v>
      </c>
      <c r="N152" s="32" t="n">
        <v>1456</v>
      </c>
      <c r="O152" s="32" t="n">
        <v>1456</v>
      </c>
      <c r="P152" s="32" t="n">
        <v>1456</v>
      </c>
      <c r="Q152" s="24" t="inlineStr">
        <is>
          <t>SOBRE PEDIDO (EXP)</t>
        </is>
      </c>
    </row>
    <row r="153" ht="19" customHeight="1">
      <c r="A153" s="18" t="inlineStr">
        <is>
          <t>A-500001</t>
        </is>
      </c>
      <c r="B153" s="33" t="inlineStr">
        <is>
          <t>A-500001RO</t>
        </is>
      </c>
      <c r="C153" s="20" t="inlineStr">
        <is>
          <t>CODIORGAN-A50, 1 KG</t>
        </is>
      </c>
      <c r="D153" s="21" t="n">
        <v>1</v>
      </c>
      <c r="E153" s="20" t="inlineStr">
        <is>
          <t>Botellas 1L</t>
        </is>
      </c>
      <c r="F153" s="19" t="inlineStr">
        <is>
          <t>RUMANÍA</t>
        </is>
      </c>
      <c r="G153" s="34" t="inlineStr">
        <is>
          <t>Sobre Pedido (Export)</t>
        </is>
      </c>
      <c r="H153" s="22" t="n">
        <v>0</v>
      </c>
      <c r="I153" s="22" t="n">
        <v>0</v>
      </c>
      <c r="J153" s="22" t="n">
        <v>1056</v>
      </c>
      <c r="K153" s="22" t="n">
        <v>0</v>
      </c>
      <c r="L153" s="22" t="n">
        <v>0</v>
      </c>
      <c r="M153" s="23" t="n">
        <v>1056</v>
      </c>
      <c r="N153" s="23" t="n">
        <v>1056</v>
      </c>
      <c r="O153" s="23" t="n">
        <v>1056</v>
      </c>
      <c r="P153" s="23" t="n">
        <v>1056</v>
      </c>
      <c r="Q153" s="24" t="inlineStr">
        <is>
          <t>SOBRE PEDIDO (EXP)</t>
        </is>
      </c>
    </row>
    <row r="154" ht="19" customHeight="1">
      <c r="A154" s="25" t="inlineStr">
        <is>
          <t>SS0001</t>
        </is>
      </c>
      <c r="B154" s="26" t="inlineStr">
        <is>
          <t>SS0001RO</t>
        </is>
      </c>
      <c r="C154" s="27" t="inlineStr">
        <is>
          <t>SAL-WAX Ca</t>
        </is>
      </c>
      <c r="D154" s="28" t="n">
        <v>1</v>
      </c>
      <c r="E154" s="27" t="inlineStr">
        <is>
          <t>Botellas 1L</t>
        </is>
      </c>
      <c r="F154" s="29" t="inlineStr">
        <is>
          <t>RUMANÍA</t>
        </is>
      </c>
      <c r="G154" s="30" t="inlineStr">
        <is>
          <t>Sobre Pedido (Export)</t>
        </is>
      </c>
      <c r="H154" s="31" t="n">
        <v>0</v>
      </c>
      <c r="I154" s="31" t="n">
        <v>0</v>
      </c>
      <c r="J154" s="31" t="n">
        <v>1056</v>
      </c>
      <c r="K154" s="31" t="n">
        <v>0</v>
      </c>
      <c r="L154" s="31" t="n">
        <v>0</v>
      </c>
      <c r="M154" s="32" t="n">
        <v>1056</v>
      </c>
      <c r="N154" s="32" t="n">
        <v>1056</v>
      </c>
      <c r="O154" s="32" t="n">
        <v>1056</v>
      </c>
      <c r="P154" s="32" t="n">
        <v>1056</v>
      </c>
      <c r="Q154" s="24" t="inlineStr">
        <is>
          <t>SOBRE PEDIDO (EXP)</t>
        </is>
      </c>
    </row>
    <row r="155" ht="19" customHeight="1">
      <c r="A155" s="18" t="inlineStr">
        <is>
          <t>AGZN0001</t>
        </is>
      </c>
      <c r="B155" s="33" t="inlineStr">
        <is>
          <t>AGZN0001CR</t>
        </is>
      </c>
      <c r="C155" s="20" t="inlineStr">
        <is>
          <t>AGROXILATO Zn</t>
        </is>
      </c>
      <c r="D155" s="21" t="n">
        <v>1</v>
      </c>
      <c r="E155" s="20" t="inlineStr">
        <is>
          <t>Botellas 1L</t>
        </is>
      </c>
      <c r="F155" s="19" t="inlineStr">
        <is>
          <t>COSTA RICA</t>
        </is>
      </c>
      <c r="G155" s="34" t="inlineStr">
        <is>
          <t>Sobre Pedido (Export)</t>
        </is>
      </c>
      <c r="H155" s="22" t="n">
        <v>0</v>
      </c>
      <c r="I155" s="22" t="n">
        <v>0</v>
      </c>
      <c r="J155" s="22" t="n">
        <v>0</v>
      </c>
      <c r="K155" s="22" t="n">
        <v>1056</v>
      </c>
      <c r="L155" s="22" t="n">
        <v>0</v>
      </c>
      <c r="M155" s="23" t="n">
        <v>1056</v>
      </c>
      <c r="N155" s="23" t="n">
        <v>1056</v>
      </c>
      <c r="O155" s="23" t="n">
        <v>1056</v>
      </c>
      <c r="P155" s="23" t="n">
        <v>1056</v>
      </c>
      <c r="Q155" s="24" t="inlineStr">
        <is>
          <t>SOBRE PEDIDO (EXP)</t>
        </is>
      </c>
    </row>
    <row r="156" ht="19" customHeight="1">
      <c r="A156" s="25" t="inlineStr">
        <is>
          <t>AN0005</t>
        </is>
      </c>
      <c r="B156" s="26" t="inlineStr">
        <is>
          <t>AN0005IT</t>
        </is>
      </c>
      <c r="C156" s="27" t="inlineStr">
        <is>
          <t>ALCAPLANT NEW, 5 KG</t>
        </is>
      </c>
      <c r="D156" s="28" t="n">
        <v>5</v>
      </c>
      <c r="E156" s="27" t="inlineStr">
        <is>
          <t>Garrafas 5L</t>
        </is>
      </c>
      <c r="F156" s="29" t="inlineStr">
        <is>
          <t>ITALIA</t>
        </is>
      </c>
      <c r="G156" s="30" t="inlineStr">
        <is>
          <t>Sobre Pedido (Export)</t>
        </is>
      </c>
      <c r="H156" s="31" t="n">
        <v>0</v>
      </c>
      <c r="I156" s="31" t="n">
        <v>0</v>
      </c>
      <c r="J156" s="31" t="n">
        <v>200</v>
      </c>
      <c r="K156" s="31" t="n">
        <v>0</v>
      </c>
      <c r="L156" s="31" t="n">
        <v>0</v>
      </c>
      <c r="M156" s="32" t="n">
        <v>200</v>
      </c>
      <c r="N156" s="32" t="n">
        <v>1000</v>
      </c>
      <c r="O156" s="32" t="n">
        <v>200</v>
      </c>
      <c r="P156" s="32" t="n">
        <v>1000</v>
      </c>
      <c r="Q156" s="24" t="inlineStr">
        <is>
          <t>SOBRE PEDIDO (EXP)</t>
        </is>
      </c>
    </row>
    <row r="157" ht="19" customHeight="1">
      <c r="A157" s="18" t="inlineStr">
        <is>
          <t>CZNMNES0001</t>
        </is>
      </c>
      <c r="B157" s="33" t="inlineStr">
        <is>
          <t>CZNMNES0001AZ</t>
        </is>
      </c>
      <c r="C157" s="20" t="inlineStr">
        <is>
          <t>CODIFOL ZN-MN, 1 KG</t>
        </is>
      </c>
      <c r="D157" s="21" t="n">
        <v>1</v>
      </c>
      <c r="E157" s="20" t="inlineStr">
        <is>
          <t>Botellas 1L</t>
        </is>
      </c>
      <c r="F157" s="19" t="inlineStr">
        <is>
          <t>AZERBAIYÁN</t>
        </is>
      </c>
      <c r="G157" s="34" t="inlineStr">
        <is>
          <t>Sobre Pedido (Export)</t>
        </is>
      </c>
      <c r="H157" s="22" t="n">
        <v>0</v>
      </c>
      <c r="I157" s="22" t="n">
        <v>0</v>
      </c>
      <c r="J157" s="22" t="n">
        <v>0</v>
      </c>
      <c r="K157" s="22" t="n">
        <v>0</v>
      </c>
      <c r="L157" s="22" t="n">
        <v>1000</v>
      </c>
      <c r="M157" s="23" t="n">
        <v>1000</v>
      </c>
      <c r="N157" s="23" t="n">
        <v>1000</v>
      </c>
      <c r="O157" s="23" t="n">
        <v>1000</v>
      </c>
      <c r="P157" s="23" t="n">
        <v>1000</v>
      </c>
      <c r="Q157" s="24" t="inlineStr">
        <is>
          <t>SOBRE PEDIDO (EXP)</t>
        </is>
      </c>
    </row>
    <row r="158" ht="19" customHeight="1">
      <c r="A158" s="25" t="inlineStr">
        <is>
          <t>CZNMNES0001</t>
        </is>
      </c>
      <c r="B158" s="26" t="inlineStr">
        <is>
          <t>CZNMNES0001GE</t>
        </is>
      </c>
      <c r="C158" s="27" t="inlineStr">
        <is>
          <t>CODIFOL ZN-MN, 1 KG</t>
        </is>
      </c>
      <c r="D158" s="28" t="n">
        <v>1</v>
      </c>
      <c r="E158" s="27" t="inlineStr">
        <is>
          <t>Botellas 1L</t>
        </is>
      </c>
      <c r="F158" s="29" t="inlineStr">
        <is>
          <t>GEORGIA</t>
        </is>
      </c>
      <c r="G158" s="30" t="inlineStr">
        <is>
          <t>Sobre Pedido (Export)</t>
        </is>
      </c>
      <c r="H158" s="31" t="n">
        <v>0</v>
      </c>
      <c r="I158" s="31" t="n">
        <v>0</v>
      </c>
      <c r="J158" s="31" t="n">
        <v>0</v>
      </c>
      <c r="K158" s="31" t="n">
        <v>0</v>
      </c>
      <c r="L158" s="31" t="n">
        <v>1000</v>
      </c>
      <c r="M158" s="32" t="n">
        <v>1000</v>
      </c>
      <c r="N158" s="32" t="n">
        <v>1000</v>
      </c>
      <c r="O158" s="32" t="n">
        <v>1000</v>
      </c>
      <c r="P158" s="32" t="n">
        <v>1000</v>
      </c>
      <c r="Q158" s="24" t="inlineStr">
        <is>
          <t>SOBRE PEDIDO (EXP)</t>
        </is>
      </c>
    </row>
    <row r="159" ht="19" customHeight="1">
      <c r="A159" s="18" t="inlineStr">
        <is>
          <t>B0001DODO</t>
        </is>
      </c>
      <c r="B159" s="19" t="inlineStr">
        <is>
          <t>B0001DODO</t>
        </is>
      </c>
      <c r="C159" s="20" t="inlineStr">
        <is>
          <t>BOROCAL</t>
        </is>
      </c>
      <c r="D159" s="21" t="n">
        <v>1</v>
      </c>
      <c r="E159" s="20" t="inlineStr">
        <is>
          <t>Botellas 1L</t>
        </is>
      </c>
      <c r="F159" s="19" t="inlineStr">
        <is>
          <t>DOMINICANA, REPÚBLICA</t>
        </is>
      </c>
      <c r="G159" s="34" t="inlineStr">
        <is>
          <t>Sobre Pedido (Export)</t>
        </is>
      </c>
      <c r="H159" s="22" t="n">
        <v>0</v>
      </c>
      <c r="I159" s="22" t="n">
        <v>0</v>
      </c>
      <c r="J159" s="22" t="n">
        <v>0</v>
      </c>
      <c r="K159" s="22" t="n">
        <v>1000</v>
      </c>
      <c r="L159" s="22" t="n">
        <v>0</v>
      </c>
      <c r="M159" s="23" t="n">
        <v>1000</v>
      </c>
      <c r="N159" s="23" t="n">
        <v>1000</v>
      </c>
      <c r="O159" s="23" t="n">
        <v>1000</v>
      </c>
      <c r="P159" s="23" t="n">
        <v>1000</v>
      </c>
      <c r="Q159" s="24" t="inlineStr">
        <is>
          <t>SOBRE PEDIDO (EXP)</t>
        </is>
      </c>
    </row>
    <row r="160" ht="19" customHeight="1">
      <c r="A160" s="25" t="inlineStr">
        <is>
          <t>RUN0001</t>
        </is>
      </c>
      <c r="B160" s="26" t="inlineStr">
        <is>
          <t>RUN0001RS</t>
        </is>
      </c>
      <c r="C160" s="27" t="inlineStr">
        <is>
          <t>RUN STRESS</t>
        </is>
      </c>
      <c r="D160" s="28" t="n">
        <v>1</v>
      </c>
      <c r="E160" s="27" t="inlineStr">
        <is>
          <t>Botellas 1L</t>
        </is>
      </c>
      <c r="F160" s="29" t="inlineStr">
        <is>
          <t>SERBIA</t>
        </is>
      </c>
      <c r="G160" s="30" t="inlineStr">
        <is>
          <t>Sobre Pedido (Export)</t>
        </is>
      </c>
      <c r="H160" s="31" t="n">
        <v>0</v>
      </c>
      <c r="I160" s="31" t="n">
        <v>0</v>
      </c>
      <c r="J160" s="31" t="n">
        <v>0</v>
      </c>
      <c r="K160" s="31" t="n">
        <v>0</v>
      </c>
      <c r="L160" s="31" t="n">
        <v>960</v>
      </c>
      <c r="M160" s="32" t="n">
        <v>960</v>
      </c>
      <c r="N160" s="32" t="n">
        <v>960</v>
      </c>
      <c r="O160" s="32" t="n">
        <v>960</v>
      </c>
      <c r="P160" s="32" t="n">
        <v>960</v>
      </c>
      <c r="Q160" s="24" t="inlineStr">
        <is>
          <t>SOBRE PEDIDO (EXP)</t>
        </is>
      </c>
    </row>
    <row r="161" ht="19" customHeight="1">
      <c r="A161" s="18" t="inlineStr">
        <is>
          <t>RUN0001</t>
        </is>
      </c>
      <c r="B161" s="33" t="inlineStr">
        <is>
          <t>RUN0001GE</t>
        </is>
      </c>
      <c r="C161" s="20" t="inlineStr">
        <is>
          <t>RUN STRESS</t>
        </is>
      </c>
      <c r="D161" s="21" t="n">
        <v>1</v>
      </c>
      <c r="E161" s="20" t="inlineStr">
        <is>
          <t>Botellas 1L</t>
        </is>
      </c>
      <c r="F161" s="19" t="inlineStr">
        <is>
          <t>GEORGIA</t>
        </is>
      </c>
      <c r="G161" s="34" t="inlineStr">
        <is>
          <t>Sobre Pedido (Export)</t>
        </is>
      </c>
      <c r="H161" s="22" t="n">
        <v>6</v>
      </c>
      <c r="I161" s="22" t="n">
        <v>0</v>
      </c>
      <c r="J161" s="22" t="n">
        <v>0</v>
      </c>
      <c r="K161" s="22" t="n">
        <v>0</v>
      </c>
      <c r="L161" s="22" t="n">
        <v>960</v>
      </c>
      <c r="M161" s="23" t="n">
        <v>960</v>
      </c>
      <c r="N161" s="23" t="n">
        <v>960</v>
      </c>
      <c r="O161" s="23" t="n">
        <v>954</v>
      </c>
      <c r="P161" s="23" t="n">
        <v>954</v>
      </c>
      <c r="Q161" s="24" t="inlineStr">
        <is>
          <t>SOBRE PEDIDO (EXP)</t>
        </is>
      </c>
    </row>
    <row r="162" ht="19" customHeight="1">
      <c r="A162" s="25" t="inlineStr">
        <is>
          <t>A-50(2)0001</t>
        </is>
      </c>
      <c r="B162" s="26" t="inlineStr">
        <is>
          <t>A-50(2)0001DO</t>
        </is>
      </c>
      <c r="C162" s="27" t="inlineStr">
        <is>
          <t>CODIORGAN-A50</t>
        </is>
      </c>
      <c r="D162" s="28" t="n">
        <v>1</v>
      </c>
      <c r="E162" s="27" t="inlineStr">
        <is>
          <t>Botellas 1L</t>
        </is>
      </c>
      <c r="F162" s="29" t="inlineStr">
        <is>
          <t>DOMINICANA, REPÚBLICA</t>
        </is>
      </c>
      <c r="G162" s="30" t="inlineStr">
        <is>
          <t>Sobre Pedido (Export)</t>
        </is>
      </c>
      <c r="H162" s="31" t="n">
        <v>0</v>
      </c>
      <c r="I162" s="31" t="n">
        <v>0</v>
      </c>
      <c r="J162" s="31" t="n">
        <v>0</v>
      </c>
      <c r="K162" s="31" t="n">
        <v>800</v>
      </c>
      <c r="L162" s="31" t="n">
        <v>0</v>
      </c>
      <c r="M162" s="32" t="n">
        <v>800</v>
      </c>
      <c r="N162" s="32" t="n">
        <v>800</v>
      </c>
      <c r="O162" s="32" t="n">
        <v>800</v>
      </c>
      <c r="P162" s="32" t="n">
        <v>800</v>
      </c>
      <c r="Q162" s="24" t="inlineStr">
        <is>
          <t>SOBRE PEDIDO (EXP)</t>
        </is>
      </c>
    </row>
    <row r="163" ht="19" customHeight="1">
      <c r="A163" s="18" t="inlineStr">
        <is>
          <t>G0001PAPA</t>
        </is>
      </c>
      <c r="B163" s="19" t="inlineStr">
        <is>
          <t>G0001PAPA</t>
        </is>
      </c>
      <c r="C163" s="20" t="inlineStr">
        <is>
          <t>TRANSLOCADOR</t>
        </is>
      </c>
      <c r="D163" s="21" t="n">
        <v>1</v>
      </c>
      <c r="E163" s="20" t="inlineStr">
        <is>
          <t>Botellas 1L</t>
        </is>
      </c>
      <c r="F163" s="19" t="inlineStr">
        <is>
          <t>PANAMÁ</t>
        </is>
      </c>
      <c r="G163" s="34" t="inlineStr">
        <is>
          <t>Sobre Pedido (Export)</t>
        </is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792</v>
      </c>
      <c r="M163" s="23" t="n">
        <v>792</v>
      </c>
      <c r="N163" s="23" t="n">
        <v>792</v>
      </c>
      <c r="O163" s="23" t="n">
        <v>792</v>
      </c>
      <c r="P163" s="23" t="n">
        <v>792</v>
      </c>
      <c r="Q163" s="24" t="inlineStr">
        <is>
          <t>SOBRE PEDIDO (EXP)</t>
        </is>
      </c>
    </row>
    <row r="164" ht="19" customHeight="1">
      <c r="A164" s="25" t="inlineStr">
        <is>
          <t>G0001RORU</t>
        </is>
      </c>
      <c r="B164" s="29" t="inlineStr">
        <is>
          <t>G0001RORU</t>
        </is>
      </c>
      <c r="C164" s="27" t="inlineStr">
        <is>
          <t>GREEN-UP</t>
        </is>
      </c>
      <c r="D164" s="28" t="n">
        <v>1</v>
      </c>
      <c r="E164" s="27" t="inlineStr">
        <is>
          <t>Botellas 1L</t>
        </is>
      </c>
      <c r="F164" s="29" t="inlineStr">
        <is>
          <t>RUMANÍA</t>
        </is>
      </c>
      <c r="G164" s="30" t="inlineStr">
        <is>
          <t>Sobre Pedido (Export)</t>
        </is>
      </c>
      <c r="H164" s="31" t="n">
        <v>0</v>
      </c>
      <c r="I164" s="31" t="n">
        <v>0</v>
      </c>
      <c r="J164" s="31" t="n">
        <v>0</v>
      </c>
      <c r="K164" s="31" t="n">
        <v>660</v>
      </c>
      <c r="L164" s="31" t="n">
        <v>0</v>
      </c>
      <c r="M164" s="32" t="n">
        <v>660</v>
      </c>
      <c r="N164" s="32" t="n">
        <v>660</v>
      </c>
      <c r="O164" s="32" t="n">
        <v>660</v>
      </c>
      <c r="P164" s="32" t="n">
        <v>660</v>
      </c>
      <c r="Q164" s="24" t="inlineStr">
        <is>
          <t>SOBRE PEDIDO (EXP)</t>
        </is>
      </c>
    </row>
    <row r="165" ht="19" customHeight="1">
      <c r="A165" s="18" t="inlineStr">
        <is>
          <t>SASM0217</t>
        </is>
      </c>
      <c r="B165" s="19" t="inlineStr">
        <is>
          <t>SASM0217</t>
        </is>
      </c>
      <c r="C165" s="20" t="inlineStr">
        <is>
          <t>SASM0217 AMINOACIDO 80/80 VEGETAL H. ACIDA</t>
        </is>
      </c>
      <c r="D165" s="21" t="n">
        <v>1</v>
      </c>
      <c r="E165" s="20" t="inlineStr">
        <is>
          <t>Botellas 1L</t>
        </is>
      </c>
      <c r="F165" s="19" t="inlineStr">
        <is>
          <t>ESPAÑA</t>
        </is>
      </c>
      <c r="G165" s="19" t="inlineStr">
        <is>
          <t>Para Previsión (Nac)</t>
        </is>
      </c>
      <c r="H165" s="22" t="n">
        <v>0</v>
      </c>
      <c r="I165" s="22" t="n">
        <v>575</v>
      </c>
      <c r="J165" s="22" t="n">
        <v>0</v>
      </c>
      <c r="K165" s="22" t="n">
        <v>0</v>
      </c>
      <c r="L165" s="22" t="n">
        <v>0</v>
      </c>
      <c r="M165" s="23" t="n">
        <v>575</v>
      </c>
      <c r="N165" s="23" t="n">
        <v>575</v>
      </c>
      <c r="O165" s="23" t="n">
        <v>575</v>
      </c>
      <c r="P165" s="23" t="n">
        <v>575</v>
      </c>
      <c r="Q165" s="24" t="inlineStr">
        <is>
          <t>FABRICACIÓN URGENTE</t>
        </is>
      </c>
    </row>
    <row r="166" ht="19" customHeight="1">
      <c r="A166" s="25" t="inlineStr">
        <is>
          <t>AGMG0001</t>
        </is>
      </c>
      <c r="B166" s="26" t="inlineStr">
        <is>
          <t>AGMG0001RO</t>
        </is>
      </c>
      <c r="C166" s="27" t="inlineStr">
        <is>
          <t>AGROXILATO Mg</t>
        </is>
      </c>
      <c r="D166" s="28" t="n">
        <v>1</v>
      </c>
      <c r="E166" s="27" t="inlineStr">
        <is>
          <t>Botellas 1L</t>
        </is>
      </c>
      <c r="F166" s="29" t="inlineStr">
        <is>
          <t>RUMANÍA</t>
        </is>
      </c>
      <c r="G166" s="30" t="inlineStr">
        <is>
          <t>Sobre Pedido (Export)</t>
        </is>
      </c>
      <c r="H166" s="31" t="n">
        <v>0</v>
      </c>
      <c r="I166" s="31" t="n">
        <v>0</v>
      </c>
      <c r="J166" s="31" t="n">
        <v>528</v>
      </c>
      <c r="K166" s="31" t="n">
        <v>0</v>
      </c>
      <c r="L166" s="31" t="n">
        <v>0</v>
      </c>
      <c r="M166" s="32" t="n">
        <v>528</v>
      </c>
      <c r="N166" s="32" t="n">
        <v>528</v>
      </c>
      <c r="O166" s="32" t="n">
        <v>528</v>
      </c>
      <c r="P166" s="32" t="n">
        <v>528</v>
      </c>
      <c r="Q166" s="24" t="inlineStr">
        <is>
          <t>SOBRE PEDIDO (EXP)</t>
        </is>
      </c>
    </row>
    <row r="167" ht="19" customHeight="1">
      <c r="A167" s="18" t="inlineStr">
        <is>
          <t>MPH0001</t>
        </is>
      </c>
      <c r="B167" s="33" t="inlineStr">
        <is>
          <t>MPH0001DO</t>
        </is>
      </c>
      <c r="C167" s="20" t="inlineStr">
        <is>
          <t>MOJALINE</t>
        </is>
      </c>
      <c r="D167" s="21" t="n">
        <v>1</v>
      </c>
      <c r="E167" s="20" t="inlineStr">
        <is>
          <t>Botellas 1L</t>
        </is>
      </c>
      <c r="F167" s="19" t="inlineStr">
        <is>
          <t>DOMINICANA, REPÚBLICA</t>
        </is>
      </c>
      <c r="G167" s="34" t="inlineStr">
        <is>
          <t>Sobre Pedido (Export)</t>
        </is>
      </c>
      <c r="H167" s="22" t="n">
        <v>0</v>
      </c>
      <c r="I167" s="22" t="n">
        <v>0</v>
      </c>
      <c r="J167" s="22" t="n">
        <v>0</v>
      </c>
      <c r="K167" s="22" t="n">
        <v>500</v>
      </c>
      <c r="L167" s="22" t="n">
        <v>0</v>
      </c>
      <c r="M167" s="23" t="n">
        <v>500</v>
      </c>
      <c r="N167" s="23" t="n">
        <v>500</v>
      </c>
      <c r="O167" s="23" t="n">
        <v>500</v>
      </c>
      <c r="P167" s="23" t="n">
        <v>500</v>
      </c>
      <c r="Q167" s="24" t="inlineStr">
        <is>
          <t>SOBRE PEDIDO (EXP)</t>
        </is>
      </c>
    </row>
    <row r="168" ht="19" customHeight="1">
      <c r="A168" s="25" t="inlineStr">
        <is>
          <t>SASM0072</t>
        </is>
      </c>
      <c r="B168" s="29" t="inlineStr">
        <is>
          <t>SASM0072</t>
        </is>
      </c>
      <c r="C168" s="27" t="inlineStr">
        <is>
          <t>SASM0072 NITRATO CALCIO</t>
        </is>
      </c>
      <c r="D168" s="28" t="n">
        <v>1</v>
      </c>
      <c r="E168" s="27" t="inlineStr">
        <is>
          <t>Botellas 1L</t>
        </is>
      </c>
      <c r="F168" s="29" t="inlineStr">
        <is>
          <t>ESPAÑA</t>
        </is>
      </c>
      <c r="G168" s="29" t="inlineStr">
        <is>
          <t>Para Previsión (Nac)</t>
        </is>
      </c>
      <c r="H168" s="31" t="n">
        <v>0</v>
      </c>
      <c r="I168" s="31" t="n">
        <v>325</v>
      </c>
      <c r="J168" s="31" t="n">
        <v>0</v>
      </c>
      <c r="K168" s="31" t="n">
        <v>0</v>
      </c>
      <c r="L168" s="31" t="n">
        <v>0</v>
      </c>
      <c r="M168" s="32" t="n">
        <v>325</v>
      </c>
      <c r="N168" s="32" t="n">
        <v>325</v>
      </c>
      <c r="O168" s="32" t="n">
        <v>325</v>
      </c>
      <c r="P168" s="32" t="n">
        <v>325</v>
      </c>
      <c r="Q168" s="24" t="inlineStr">
        <is>
          <t>FABRICACIÓN URGENTE</t>
        </is>
      </c>
    </row>
    <row r="169" ht="19" customHeight="1">
      <c r="A169" s="18" t="inlineStr">
        <is>
          <t>SSEG0001</t>
        </is>
      </c>
      <c r="B169" s="33" t="inlineStr">
        <is>
          <t>SSEG0001CO</t>
        </is>
      </c>
      <c r="C169" s="20" t="inlineStr">
        <is>
          <t>SALWAX CALCIO</t>
        </is>
      </c>
      <c r="D169" s="21" t="n">
        <v>1</v>
      </c>
      <c r="E169" s="20" t="inlineStr">
        <is>
          <t>Botellas 1L</t>
        </is>
      </c>
      <c r="F169" s="19" t="inlineStr">
        <is>
          <t>COLOMBIA</t>
        </is>
      </c>
      <c r="G169" s="34" t="inlineStr">
        <is>
          <t>Sobre Pedido (Export)</t>
        </is>
      </c>
      <c r="H169" s="22" t="n">
        <v>0</v>
      </c>
      <c r="I169" s="22" t="n">
        <v>324</v>
      </c>
      <c r="J169" s="22" t="n">
        <v>0</v>
      </c>
      <c r="K169" s="22" t="n">
        <v>0</v>
      </c>
      <c r="L169" s="22" t="n">
        <v>0</v>
      </c>
      <c r="M169" s="23" t="n">
        <v>324</v>
      </c>
      <c r="N169" s="23" t="n">
        <v>324</v>
      </c>
      <c r="O169" s="23" t="n">
        <v>324</v>
      </c>
      <c r="P169" s="23" t="n">
        <v>324</v>
      </c>
      <c r="Q169" s="24" t="inlineStr">
        <is>
          <t>SOBRE PEDIDO (EXP)</t>
        </is>
      </c>
    </row>
    <row r="170" ht="19" customHeight="1">
      <c r="A170" s="25" t="inlineStr">
        <is>
          <t>BPLUS0001</t>
        </is>
      </c>
      <c r="B170" s="26" t="inlineStr">
        <is>
          <t>BPLUS0001CO</t>
        </is>
      </c>
      <c r="C170" s="27" t="inlineStr">
        <is>
          <t>BOROCAL PLUS, 1 KG</t>
        </is>
      </c>
      <c r="D170" s="28" t="n">
        <v>1</v>
      </c>
      <c r="E170" s="27" t="inlineStr">
        <is>
          <t>Botellas 1L</t>
        </is>
      </c>
      <c r="F170" s="29" t="inlineStr">
        <is>
          <t>COLOMBIA</t>
        </is>
      </c>
      <c r="G170" s="30" t="inlineStr">
        <is>
          <t>Sobre Pedido (Export)</t>
        </is>
      </c>
      <c r="H170" s="31" t="n">
        <v>0</v>
      </c>
      <c r="I170" s="31" t="n">
        <v>0</v>
      </c>
      <c r="J170" s="31" t="n">
        <v>0</v>
      </c>
      <c r="K170" s="31" t="n">
        <v>320</v>
      </c>
      <c r="L170" s="31" t="n">
        <v>0</v>
      </c>
      <c r="M170" s="32" t="n">
        <v>320</v>
      </c>
      <c r="N170" s="32" t="n">
        <v>320</v>
      </c>
      <c r="O170" s="32" t="n">
        <v>320</v>
      </c>
      <c r="P170" s="32" t="n">
        <v>320</v>
      </c>
      <c r="Q170" s="24" t="inlineStr">
        <is>
          <t>SOBRE PEDIDO (EXP)</t>
        </is>
      </c>
    </row>
    <row r="171" ht="19" customHeight="1">
      <c r="A171" s="18" t="inlineStr">
        <is>
          <t>A-50(2)0005</t>
        </is>
      </c>
      <c r="B171" s="19" t="inlineStr">
        <is>
          <t>A-50(2)0005</t>
        </is>
      </c>
      <c r="C171" s="20" t="inlineStr">
        <is>
          <t>CODIORGAN-A50, 5 KG</t>
        </is>
      </c>
      <c r="D171" s="21" t="n">
        <v>5</v>
      </c>
      <c r="E171" s="20" t="inlineStr">
        <is>
          <t>Garrafas 5L</t>
        </is>
      </c>
      <c r="F171" s="19" t="inlineStr">
        <is>
          <t>ESPAÑA</t>
        </is>
      </c>
      <c r="G171" s="19" t="inlineStr">
        <is>
          <t>Para Previsión (Nac)</t>
        </is>
      </c>
      <c r="H171" s="22" t="n">
        <v>2085</v>
      </c>
      <c r="I171" s="22" t="n">
        <v>250</v>
      </c>
      <c r="J171" s="22" t="n">
        <v>200</v>
      </c>
      <c r="K171" s="22" t="n">
        <v>1350</v>
      </c>
      <c r="L171" s="22" t="n">
        <v>325</v>
      </c>
      <c r="M171" s="23" t="n">
        <v>2125</v>
      </c>
      <c r="N171" s="23" t="n">
        <v>10625</v>
      </c>
      <c r="O171" s="23" t="n">
        <v>40</v>
      </c>
      <c r="P171" s="23" t="n">
        <v>200</v>
      </c>
      <c r="Q171" s="24" t="inlineStr">
        <is>
          <t>FABRICACIÓN URGENTE</t>
        </is>
      </c>
    </row>
    <row r="172" ht="19" customHeight="1">
      <c r="A172" s="25" t="inlineStr">
        <is>
          <t>SASE0011</t>
        </is>
      </c>
      <c r="B172" s="29" t="inlineStr">
        <is>
          <t>SASE0011</t>
        </is>
      </c>
      <c r="C172" s="27" t="inlineStr">
        <is>
          <t>CANTONERAS DE CARTON SAS 2MTR</t>
        </is>
      </c>
      <c r="D172" s="28" t="n">
        <v>1</v>
      </c>
      <c r="E172" s="27" t="inlineStr">
        <is>
          <t>Botellas 1L</t>
        </is>
      </c>
      <c r="F172" s="29" t="inlineStr">
        <is>
          <t>ESPAÑA</t>
        </is>
      </c>
      <c r="G172" s="29" t="inlineStr">
        <is>
          <t>Para Previsión (Nac)</t>
        </is>
      </c>
      <c r="H172" s="31" t="n">
        <v>0</v>
      </c>
      <c r="I172" s="31" t="n">
        <v>26</v>
      </c>
      <c r="J172" s="31" t="n">
        <v>0</v>
      </c>
      <c r="K172" s="31" t="n">
        <v>0</v>
      </c>
      <c r="L172" s="31" t="n">
        <v>0</v>
      </c>
      <c r="M172" s="32" t="n">
        <v>26</v>
      </c>
      <c r="N172" s="32" t="n">
        <v>26</v>
      </c>
      <c r="O172" s="32" t="n">
        <v>26</v>
      </c>
      <c r="P172" s="32" t="n">
        <v>26</v>
      </c>
      <c r="Q172" s="24" t="inlineStr">
        <is>
          <t>FABRICACIÓN URGENTE</t>
        </is>
      </c>
    </row>
    <row r="173" ht="19" customHeight="1">
      <c r="A173" s="18" t="inlineStr">
        <is>
          <t>SASE0052</t>
        </is>
      </c>
      <c r="B173" s="19" t="inlineStr">
        <is>
          <t>SASE0052</t>
        </is>
      </c>
      <c r="C173" s="20" t="inlineStr">
        <is>
          <t>PALET 115 X 0,75</t>
        </is>
      </c>
      <c r="D173" s="21" t="n">
        <v>1</v>
      </c>
      <c r="E173" s="20" t="inlineStr">
        <is>
          <t>Botellas 1L</t>
        </is>
      </c>
      <c r="F173" s="19" t="inlineStr">
        <is>
          <t>ESPAÑA</t>
        </is>
      </c>
      <c r="G173" s="19" t="inlineStr">
        <is>
          <t>Para Previsión (Nac)</t>
        </is>
      </c>
      <c r="H173" s="22" t="n">
        <v>0</v>
      </c>
      <c r="I173" s="22" t="n">
        <v>9</v>
      </c>
      <c r="J173" s="22" t="n">
        <v>0</v>
      </c>
      <c r="K173" s="22" t="n">
        <v>0</v>
      </c>
      <c r="L173" s="22" t="n">
        <v>0</v>
      </c>
      <c r="M173" s="23" t="n">
        <v>9</v>
      </c>
      <c r="N173" s="23" t="n">
        <v>9</v>
      </c>
      <c r="O173" s="23" t="n">
        <v>9</v>
      </c>
      <c r="P173" s="23" t="n">
        <v>9</v>
      </c>
      <c r="Q173" s="24" t="inlineStr">
        <is>
          <t>FABRICACIÓN URGENTE</t>
        </is>
      </c>
    </row>
    <row r="174" ht="19" customHeight="1">
      <c r="A174" s="25" t="inlineStr">
        <is>
          <t>BIO0005</t>
        </is>
      </c>
      <c r="B174" s="26" t="inlineStr">
        <is>
          <t>BIO0005DO</t>
        </is>
      </c>
      <c r="C174" s="27" t="inlineStr">
        <is>
          <t>BIORAD-20, 5L</t>
        </is>
      </c>
      <c r="D174" s="28" t="n">
        <v>5</v>
      </c>
      <c r="E174" s="27" t="inlineStr">
        <is>
          <t>Garrafas 5L</t>
        </is>
      </c>
      <c r="F174" s="29" t="inlineStr">
        <is>
          <t>DOMINICANA, REPÚBLICA</t>
        </is>
      </c>
      <c r="G174" s="30" t="inlineStr">
        <is>
          <t>Sobre Pedido (Export)</t>
        </is>
      </c>
      <c r="H174" s="31" t="n">
        <v>0</v>
      </c>
      <c r="I174" s="31" t="n">
        <v>0</v>
      </c>
      <c r="J174" s="31" t="n">
        <v>0</v>
      </c>
      <c r="K174" s="31" t="n">
        <v>3620</v>
      </c>
      <c r="L174" s="31" t="n">
        <v>0</v>
      </c>
      <c r="M174" s="32" t="n">
        <v>3620</v>
      </c>
      <c r="N174" s="32" t="n">
        <v>18100</v>
      </c>
      <c r="O174" s="32" t="n">
        <v>3620</v>
      </c>
      <c r="P174" s="32" t="n">
        <v>18100</v>
      </c>
      <c r="Q174" s="35" t="inlineStr">
        <is>
          <t>SOBRE PEDIDO (EXP)</t>
        </is>
      </c>
    </row>
    <row r="175" ht="19" customHeight="1">
      <c r="A175" s="18" t="inlineStr">
        <is>
          <t>BIO0020</t>
        </is>
      </c>
      <c r="B175" s="33" t="inlineStr">
        <is>
          <t>BIO0020RO</t>
        </is>
      </c>
      <c r="C175" s="20" t="inlineStr">
        <is>
          <t>BIORAD-20, 20 L</t>
        </is>
      </c>
      <c r="D175" s="21" t="n">
        <v>20</v>
      </c>
      <c r="E175" s="20" t="inlineStr">
        <is>
          <t>Garrafas 20L</t>
        </is>
      </c>
      <c r="F175" s="19" t="inlineStr">
        <is>
          <t>RUMANÍA</t>
        </is>
      </c>
      <c r="G175" s="34" t="inlineStr">
        <is>
          <t>Sobre Pedido (Export)</t>
        </is>
      </c>
      <c r="H175" s="22" t="n">
        <v>0</v>
      </c>
      <c r="I175" s="22" t="n">
        <v>0</v>
      </c>
      <c r="J175" s="22" t="n">
        <v>640</v>
      </c>
      <c r="K175" s="22" t="n">
        <v>0</v>
      </c>
      <c r="L175" s="22" t="n">
        <v>0</v>
      </c>
      <c r="M175" s="23" t="n">
        <v>640</v>
      </c>
      <c r="N175" s="23" t="n">
        <v>12800</v>
      </c>
      <c r="O175" s="23" t="n">
        <v>640</v>
      </c>
      <c r="P175" s="23" t="n">
        <v>12800</v>
      </c>
      <c r="Q175" s="35" t="inlineStr">
        <is>
          <t>SOBRE PEDIDO (EXP)</t>
        </is>
      </c>
    </row>
    <row r="176" ht="19" customHeight="1">
      <c r="A176" s="25" t="inlineStr">
        <is>
          <t>AGXK0005</t>
        </is>
      </c>
      <c r="B176" s="29" t="inlineStr">
        <is>
          <t>AGXK0005</t>
        </is>
      </c>
      <c r="C176" s="27" t="inlineStr">
        <is>
          <t>AGROXILATO-K, 5 L</t>
        </is>
      </c>
      <c r="D176" s="28" t="n">
        <v>5</v>
      </c>
      <c r="E176" s="27" t="inlineStr">
        <is>
          <t>Garrafas 5L</t>
        </is>
      </c>
      <c r="F176" s="29" t="inlineStr">
        <is>
          <t>ESPAÑA</t>
        </is>
      </c>
      <c r="G176" s="29" t="inlineStr">
        <is>
          <t>Para Previsión (Nac)</t>
        </is>
      </c>
      <c r="H176" s="31" t="n">
        <v>820</v>
      </c>
      <c r="I176" s="31" t="n">
        <v>0</v>
      </c>
      <c r="J176" s="31" t="n">
        <v>200</v>
      </c>
      <c r="K176" s="31" t="n">
        <v>2000</v>
      </c>
      <c r="L176" s="31" t="n">
        <v>0</v>
      </c>
      <c r="M176" s="32" t="n">
        <v>2200</v>
      </c>
      <c r="N176" s="32" t="n">
        <v>11000</v>
      </c>
      <c r="O176" s="32" t="n">
        <v>1380</v>
      </c>
      <c r="P176" s="32" t="n">
        <v>6900</v>
      </c>
      <c r="Q176" s="35" t="inlineStr">
        <is>
          <t>SOLO ENVASAR</t>
        </is>
      </c>
    </row>
    <row r="177" ht="19" customHeight="1">
      <c r="A177" s="18" t="inlineStr">
        <is>
          <t>AGXK0005</t>
        </is>
      </c>
      <c r="B177" s="33" t="inlineStr">
        <is>
          <t>AGXK0005GE</t>
        </is>
      </c>
      <c r="C177" s="20" t="inlineStr">
        <is>
          <t>AGROXILATO-K, 5 L</t>
        </is>
      </c>
      <c r="D177" s="21" t="n">
        <v>5</v>
      </c>
      <c r="E177" s="20" t="inlineStr">
        <is>
          <t>Garrafas 5L</t>
        </is>
      </c>
      <c r="F177" s="19" t="inlineStr">
        <is>
          <t>GEORGIA</t>
        </is>
      </c>
      <c r="G177" s="34" t="inlineStr">
        <is>
          <t>Sobre Pedido (Export)</t>
        </is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1000</v>
      </c>
      <c r="M177" s="23" t="n">
        <v>1000</v>
      </c>
      <c r="N177" s="23" t="n">
        <v>5000</v>
      </c>
      <c r="O177" s="23" t="n">
        <v>1000</v>
      </c>
      <c r="P177" s="23" t="n">
        <v>5000</v>
      </c>
      <c r="Q177" s="35" t="inlineStr">
        <is>
          <t>SOBRE PEDIDO (EXP)</t>
        </is>
      </c>
    </row>
    <row r="178" ht="19" customHeight="1">
      <c r="A178" s="25" t="inlineStr">
        <is>
          <t>AGXCR0005</t>
        </is>
      </c>
      <c r="B178" s="26" t="inlineStr">
        <is>
          <t>AGXCR0005CO</t>
        </is>
      </c>
      <c r="C178" s="27" t="inlineStr">
        <is>
          <t>AGROXILATO-K</t>
        </is>
      </c>
      <c r="D178" s="28" t="n">
        <v>5</v>
      </c>
      <c r="E178" s="27" t="inlineStr">
        <is>
          <t>Garrafas 5L</t>
        </is>
      </c>
      <c r="F178" s="29" t="inlineStr">
        <is>
          <t>COLOMBIA</t>
        </is>
      </c>
      <c r="G178" s="30" t="inlineStr">
        <is>
          <t>Sobre Pedido (Export)</t>
        </is>
      </c>
      <c r="H178" s="31" t="n">
        <v>0</v>
      </c>
      <c r="I178" s="31" t="n">
        <v>0</v>
      </c>
      <c r="J178" s="31" t="n">
        <v>0</v>
      </c>
      <c r="K178" s="31" t="n">
        <v>0</v>
      </c>
      <c r="L178" s="31" t="n">
        <v>1000</v>
      </c>
      <c r="M178" s="32" t="n">
        <v>1000</v>
      </c>
      <c r="N178" s="32" t="n">
        <v>5000</v>
      </c>
      <c r="O178" s="32" t="n">
        <v>1000</v>
      </c>
      <c r="P178" s="32" t="n">
        <v>5000</v>
      </c>
      <c r="Q178" s="35" t="inlineStr">
        <is>
          <t>SOBRE PEDIDO (EXP)</t>
        </is>
      </c>
    </row>
    <row r="179" ht="19" customHeight="1">
      <c r="A179" s="18" t="inlineStr">
        <is>
          <t>BIO0005</t>
        </is>
      </c>
      <c r="B179" s="19" t="inlineStr">
        <is>
          <t>BIO0005</t>
        </is>
      </c>
      <c r="C179" s="20" t="inlineStr">
        <is>
          <t>BIORAD-20, 5L</t>
        </is>
      </c>
      <c r="D179" s="21" t="n">
        <v>5</v>
      </c>
      <c r="E179" s="20" t="inlineStr">
        <is>
          <t>Garrafas 5L</t>
        </is>
      </c>
      <c r="F179" s="19" t="inlineStr">
        <is>
          <t>ESPAÑA</t>
        </is>
      </c>
      <c r="G179" s="19" t="inlineStr">
        <is>
          <t>Para Previsión (Nac)</t>
        </is>
      </c>
      <c r="H179" s="22" t="n">
        <v>1540</v>
      </c>
      <c r="I179" s="22" t="n">
        <v>0</v>
      </c>
      <c r="J179" s="22" t="n">
        <v>940</v>
      </c>
      <c r="K179" s="22" t="n">
        <v>1500</v>
      </c>
      <c r="L179" s="22" t="n">
        <v>0</v>
      </c>
      <c r="M179" s="23" t="n">
        <v>2440</v>
      </c>
      <c r="N179" s="23" t="n">
        <v>12200</v>
      </c>
      <c r="O179" s="23" t="n">
        <v>900</v>
      </c>
      <c r="P179" s="23" t="n">
        <v>4500</v>
      </c>
      <c r="Q179" s="35" t="inlineStr">
        <is>
          <t>SOLO ENVASAR</t>
        </is>
      </c>
    </row>
    <row r="180" ht="19" customHeight="1">
      <c r="A180" s="25" t="inlineStr">
        <is>
          <t>AGXCR0005</t>
        </is>
      </c>
      <c r="B180" s="26" t="inlineStr">
        <is>
          <t>AGXCR0005PA</t>
        </is>
      </c>
      <c r="C180" s="27" t="inlineStr">
        <is>
          <t>AGROXILATO-K</t>
        </is>
      </c>
      <c r="D180" s="28" t="n">
        <v>5</v>
      </c>
      <c r="E180" s="27" t="inlineStr">
        <is>
          <t>Garrafas 5L</t>
        </is>
      </c>
      <c r="F180" s="29" t="inlineStr">
        <is>
          <t>PANAMÁ</t>
        </is>
      </c>
      <c r="G180" s="30" t="inlineStr">
        <is>
          <t>Sobre Pedido (Export)</t>
        </is>
      </c>
      <c r="H180" s="31" t="n">
        <v>0</v>
      </c>
      <c r="I180" s="31" t="n">
        <v>0</v>
      </c>
      <c r="J180" s="31" t="n">
        <v>0</v>
      </c>
      <c r="K180" s="31" t="n">
        <v>0</v>
      </c>
      <c r="L180" s="31" t="n">
        <v>800</v>
      </c>
      <c r="M180" s="32" t="n">
        <v>800</v>
      </c>
      <c r="N180" s="32" t="n">
        <v>4000</v>
      </c>
      <c r="O180" s="32" t="n">
        <v>800</v>
      </c>
      <c r="P180" s="32" t="n">
        <v>4000</v>
      </c>
      <c r="Q180" s="35" t="inlineStr">
        <is>
          <t>SOBRE PEDIDO (EXP)</t>
        </is>
      </c>
    </row>
    <row r="181" ht="19" customHeight="1">
      <c r="A181" s="18" t="inlineStr">
        <is>
          <t>BIO0005</t>
        </is>
      </c>
      <c r="B181" s="33" t="inlineStr">
        <is>
          <t>BIO0005RO</t>
        </is>
      </c>
      <c r="C181" s="20" t="inlineStr">
        <is>
          <t>BIORAD-20, 5L</t>
        </is>
      </c>
      <c r="D181" s="21" t="n">
        <v>5</v>
      </c>
      <c r="E181" s="20" t="inlineStr">
        <is>
          <t>Garrafas 5L</t>
        </is>
      </c>
      <c r="F181" s="19" t="inlineStr">
        <is>
          <t>RUMANÍA</t>
        </is>
      </c>
      <c r="G181" s="34" t="inlineStr">
        <is>
          <t>Sobre Pedido (Export)</t>
        </is>
      </c>
      <c r="H181" s="22" t="n">
        <v>0</v>
      </c>
      <c r="I181" s="22" t="n">
        <v>0</v>
      </c>
      <c r="J181" s="22" t="n">
        <v>600</v>
      </c>
      <c r="K181" s="22" t="n">
        <v>0</v>
      </c>
      <c r="L181" s="22" t="n">
        <v>0</v>
      </c>
      <c r="M181" s="23" t="n">
        <v>600</v>
      </c>
      <c r="N181" s="23" t="n">
        <v>3000</v>
      </c>
      <c r="O181" s="23" t="n">
        <v>600</v>
      </c>
      <c r="P181" s="23" t="n">
        <v>3000</v>
      </c>
      <c r="Q181" s="35" t="inlineStr">
        <is>
          <t>SOBRE PEDIDO (EXP)</t>
        </is>
      </c>
    </row>
    <row r="182" ht="19" customHeight="1">
      <c r="A182" s="25" t="inlineStr">
        <is>
          <t>AGXCR0001</t>
        </is>
      </c>
      <c r="B182" s="26" t="inlineStr">
        <is>
          <t>AGXCR0001PA</t>
        </is>
      </c>
      <c r="C182" s="27" t="inlineStr">
        <is>
          <t>AGROXILATO-K</t>
        </is>
      </c>
      <c r="D182" s="28" t="n">
        <v>1</v>
      </c>
      <c r="E182" s="27" t="inlineStr">
        <is>
          <t>Botellas 1L</t>
        </is>
      </c>
      <c r="F182" s="29" t="inlineStr">
        <is>
          <t>PANAMÁ</t>
        </is>
      </c>
      <c r="G182" s="30" t="inlineStr">
        <is>
          <t>Sobre Pedido (Export)</t>
        </is>
      </c>
      <c r="H182" s="31" t="n">
        <v>0</v>
      </c>
      <c r="I182" s="31" t="n">
        <v>0</v>
      </c>
      <c r="J182" s="31" t="n">
        <v>0</v>
      </c>
      <c r="K182" s="31" t="n">
        <v>0</v>
      </c>
      <c r="L182" s="31" t="n">
        <v>1584</v>
      </c>
      <c r="M182" s="32" t="n">
        <v>1584</v>
      </c>
      <c r="N182" s="32" t="n">
        <v>1584</v>
      </c>
      <c r="O182" s="32" t="n">
        <v>1584</v>
      </c>
      <c r="P182" s="32" t="n">
        <v>1584</v>
      </c>
      <c r="Q182" s="35" t="inlineStr">
        <is>
          <t>SOBRE PEDIDO (EXP)</t>
        </is>
      </c>
    </row>
    <row r="183" ht="19" customHeight="1">
      <c r="A183" s="18" t="inlineStr">
        <is>
          <t>FLORCR0001</t>
        </is>
      </c>
      <c r="B183" s="33" t="inlineStr">
        <is>
          <t>FLORCR0001PA</t>
        </is>
      </c>
      <c r="C183" s="20" t="inlineStr">
        <is>
          <t>FLORAMEC CR, 1 L</t>
        </is>
      </c>
      <c r="D183" s="21" t="n">
        <v>1</v>
      </c>
      <c r="E183" s="20" t="inlineStr">
        <is>
          <t>Botellas 1L</t>
        </is>
      </c>
      <c r="F183" s="19" t="inlineStr">
        <is>
          <t>PANAMÁ</t>
        </is>
      </c>
      <c r="G183" s="34" t="inlineStr">
        <is>
          <t>Sobre Pedido (Export)</t>
        </is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1584</v>
      </c>
      <c r="M183" s="23" t="n">
        <v>1584</v>
      </c>
      <c r="N183" s="23" t="n">
        <v>1584</v>
      </c>
      <c r="O183" s="23" t="n">
        <v>1584</v>
      </c>
      <c r="P183" s="23" t="n">
        <v>1584</v>
      </c>
      <c r="Q183" s="35" t="inlineStr">
        <is>
          <t>SOBRE PEDIDO (EXP)</t>
        </is>
      </c>
    </row>
    <row r="184" ht="19" customHeight="1">
      <c r="A184" s="25" t="inlineStr">
        <is>
          <t>AGXCR0001</t>
        </is>
      </c>
      <c r="B184" s="26" t="inlineStr">
        <is>
          <t>AGXCR0001CO</t>
        </is>
      </c>
      <c r="C184" s="27" t="inlineStr">
        <is>
          <t>AGROXILATO-K</t>
        </is>
      </c>
      <c r="D184" s="28" t="n">
        <v>1</v>
      </c>
      <c r="E184" s="27" t="inlineStr">
        <is>
          <t>Botellas 1L</t>
        </is>
      </c>
      <c r="F184" s="29" t="inlineStr">
        <is>
          <t>COLOMBIA</t>
        </is>
      </c>
      <c r="G184" s="30" t="inlineStr">
        <is>
          <t>Sobre Pedido (Export)</t>
        </is>
      </c>
      <c r="H184" s="31" t="n">
        <v>0</v>
      </c>
      <c r="I184" s="31" t="n">
        <v>840</v>
      </c>
      <c r="J184" s="31" t="n">
        <v>0</v>
      </c>
      <c r="K184" s="31" t="n">
        <v>0</v>
      </c>
      <c r="L184" s="31" t="n">
        <v>600</v>
      </c>
      <c r="M184" s="32" t="n">
        <v>1440</v>
      </c>
      <c r="N184" s="32" t="n">
        <v>1440</v>
      </c>
      <c r="O184" s="32" t="n">
        <v>1440</v>
      </c>
      <c r="P184" s="32" t="n">
        <v>1440</v>
      </c>
      <c r="Q184" s="35" t="inlineStr">
        <is>
          <t>SOBRE PEDIDO (EXP)</t>
        </is>
      </c>
    </row>
    <row r="185" ht="19" customHeight="1">
      <c r="A185" s="18" t="inlineStr">
        <is>
          <t>BIO0001</t>
        </is>
      </c>
      <c r="B185" s="33" t="inlineStr">
        <is>
          <t>BIO0001DO</t>
        </is>
      </c>
      <c r="C185" s="20" t="inlineStr">
        <is>
          <t>BIORAD-20</t>
        </is>
      </c>
      <c r="D185" s="21" t="n">
        <v>1</v>
      </c>
      <c r="E185" s="20" t="inlineStr">
        <is>
          <t>Botellas 1L</t>
        </is>
      </c>
      <c r="F185" s="19" t="inlineStr">
        <is>
          <t>DOMINICANA, REPÚBLICA</t>
        </is>
      </c>
      <c r="G185" s="34" t="inlineStr">
        <is>
          <t>Sobre Pedido (Export)</t>
        </is>
      </c>
      <c r="H185" s="22" t="n">
        <v>0</v>
      </c>
      <c r="I185" s="22" t="n">
        <v>0</v>
      </c>
      <c r="J185" s="22" t="n">
        <v>0</v>
      </c>
      <c r="K185" s="22" t="n">
        <v>1224</v>
      </c>
      <c r="L185" s="22" t="n">
        <v>0</v>
      </c>
      <c r="M185" s="23" t="n">
        <v>1224</v>
      </c>
      <c r="N185" s="23" t="n">
        <v>1224</v>
      </c>
      <c r="O185" s="23" t="n">
        <v>1224</v>
      </c>
      <c r="P185" s="23" t="n">
        <v>1224</v>
      </c>
      <c r="Q185" s="35" t="inlineStr">
        <is>
          <t>SOBRE PEDIDO (EXP)</t>
        </is>
      </c>
    </row>
    <row r="186" ht="19" customHeight="1">
      <c r="A186" s="25" t="inlineStr">
        <is>
          <t>C-L0020</t>
        </is>
      </c>
      <c r="B186" s="29" t="inlineStr">
        <is>
          <t>C-L0020</t>
        </is>
      </c>
      <c r="C186" s="27" t="inlineStr">
        <is>
          <t>CODIBOR-L, 20 L</t>
        </is>
      </c>
      <c r="D186" s="28" t="n">
        <v>20</v>
      </c>
      <c r="E186" s="27" t="inlineStr">
        <is>
          <t>Garrafas 20L</t>
        </is>
      </c>
      <c r="F186" s="29" t="inlineStr">
        <is>
          <t>ESPAÑA</t>
        </is>
      </c>
      <c r="G186" s="29" t="inlineStr">
        <is>
          <t>Para Previsión (Nac)</t>
        </is>
      </c>
      <c r="H186" s="31" t="n">
        <v>260</v>
      </c>
      <c r="I186" s="31" t="n">
        <v>320</v>
      </c>
      <c r="J186" s="31" t="n">
        <v>0</v>
      </c>
      <c r="K186" s="31" t="n">
        <v>0</v>
      </c>
      <c r="L186" s="31" t="n">
        <v>0</v>
      </c>
      <c r="M186" s="32" t="n">
        <v>320</v>
      </c>
      <c r="N186" s="32" t="n">
        <v>6400</v>
      </c>
      <c r="O186" s="32" t="n">
        <v>60</v>
      </c>
      <c r="P186" s="32" t="n">
        <v>1200</v>
      </c>
      <c r="Q186" s="35" t="inlineStr">
        <is>
          <t>SOLO ENVASAR</t>
        </is>
      </c>
    </row>
    <row r="187" ht="19" customHeight="1">
      <c r="A187" s="18" t="inlineStr">
        <is>
          <t>AGXK0001</t>
        </is>
      </c>
      <c r="B187" s="33" t="inlineStr">
        <is>
          <t>AGXK0001DO</t>
        </is>
      </c>
      <c r="C187" s="20" t="inlineStr">
        <is>
          <t>AGROXILATO-K</t>
        </is>
      </c>
      <c r="D187" s="21" t="n">
        <v>1</v>
      </c>
      <c r="E187" s="20" t="inlineStr">
        <is>
          <t>Botellas 1L</t>
        </is>
      </c>
      <c r="F187" s="19" t="inlineStr">
        <is>
          <t>DOMINICANA, REPÚBLICA</t>
        </is>
      </c>
      <c r="G187" s="34" t="inlineStr">
        <is>
          <t>Sobre Pedido (Export)</t>
        </is>
      </c>
      <c r="H187" s="22" t="n">
        <v>0</v>
      </c>
      <c r="I187" s="22" t="n">
        <v>0</v>
      </c>
      <c r="J187" s="22" t="n">
        <v>0</v>
      </c>
      <c r="K187" s="22" t="n">
        <v>1000</v>
      </c>
      <c r="L187" s="22" t="n">
        <v>0</v>
      </c>
      <c r="M187" s="23" t="n">
        <v>1000</v>
      </c>
      <c r="N187" s="23" t="n">
        <v>1000</v>
      </c>
      <c r="O187" s="23" t="n">
        <v>1000</v>
      </c>
      <c r="P187" s="23" t="n">
        <v>1000</v>
      </c>
      <c r="Q187" s="35" t="inlineStr">
        <is>
          <t>SOBRE PEDIDO (EXP)</t>
        </is>
      </c>
    </row>
    <row r="188" ht="19" customHeight="1">
      <c r="A188" s="25" t="inlineStr">
        <is>
          <t>F-A0001</t>
        </is>
      </c>
      <c r="B188" s="26" t="inlineStr">
        <is>
          <t>F-A0001DO</t>
        </is>
      </c>
      <c r="C188" s="27" t="inlineStr">
        <is>
          <t>FITOLIN-AGRO, 1 L</t>
        </is>
      </c>
      <c r="D188" s="28" t="n">
        <v>1</v>
      </c>
      <c r="E188" s="27" t="inlineStr">
        <is>
          <t>Botellas 1L</t>
        </is>
      </c>
      <c r="F188" s="29" t="inlineStr">
        <is>
          <t>DOMINICANA, REPÚBLICA</t>
        </is>
      </c>
      <c r="G188" s="30" t="inlineStr">
        <is>
          <t>Sobre Pedido (Export)</t>
        </is>
      </c>
      <c r="H188" s="31" t="n">
        <v>0</v>
      </c>
      <c r="I188" s="31" t="n">
        <v>0</v>
      </c>
      <c r="J188" s="31" t="n">
        <v>0</v>
      </c>
      <c r="K188" s="31" t="n">
        <v>1000</v>
      </c>
      <c r="L188" s="31" t="n">
        <v>0</v>
      </c>
      <c r="M188" s="32" t="n">
        <v>1000</v>
      </c>
      <c r="N188" s="32" t="n">
        <v>1000</v>
      </c>
      <c r="O188" s="32" t="n">
        <v>1000</v>
      </c>
      <c r="P188" s="32" t="n">
        <v>1000</v>
      </c>
      <c r="Q188" s="35" t="inlineStr">
        <is>
          <t>SOBRE PEDIDO (EXP)</t>
        </is>
      </c>
    </row>
    <row r="189" ht="19" customHeight="1">
      <c r="A189" s="18" t="inlineStr">
        <is>
          <t>F-A0005</t>
        </is>
      </c>
      <c r="B189" s="33" t="inlineStr">
        <is>
          <t>F-A0005CO</t>
        </is>
      </c>
      <c r="C189" s="20" t="inlineStr">
        <is>
          <t>FITOLIN-AGRO, 5 L</t>
        </is>
      </c>
      <c r="D189" s="21" t="n">
        <v>5</v>
      </c>
      <c r="E189" s="20" t="inlineStr">
        <is>
          <t>Garrafas 5L</t>
        </is>
      </c>
      <c r="F189" s="19" t="inlineStr">
        <is>
          <t>COLOMBIA</t>
        </is>
      </c>
      <c r="G189" s="34" t="inlineStr">
        <is>
          <t>Sobre Pedido (Export)</t>
        </is>
      </c>
      <c r="H189" s="22" t="n">
        <v>0</v>
      </c>
      <c r="I189" s="22" t="n">
        <v>0</v>
      </c>
      <c r="J189" s="22" t="n">
        <v>0</v>
      </c>
      <c r="K189" s="22" t="n">
        <v>200</v>
      </c>
      <c r="L189" s="22" t="n">
        <v>0</v>
      </c>
      <c r="M189" s="23" t="n">
        <v>200</v>
      </c>
      <c r="N189" s="23" t="n">
        <v>1000</v>
      </c>
      <c r="O189" s="23" t="n">
        <v>200</v>
      </c>
      <c r="P189" s="23" t="n">
        <v>1000</v>
      </c>
      <c r="Q189" s="35" t="inlineStr">
        <is>
          <t>SOBRE PEDIDO (EXP)</t>
        </is>
      </c>
    </row>
    <row r="190" ht="19" customHeight="1">
      <c r="A190" s="25" t="inlineStr">
        <is>
          <t>FLORCR0005</t>
        </is>
      </c>
      <c r="B190" s="26" t="inlineStr">
        <is>
          <t>FLORCR0005CO</t>
        </is>
      </c>
      <c r="C190" s="27" t="inlineStr">
        <is>
          <t>FLORAMEC</t>
        </is>
      </c>
      <c r="D190" s="28" t="n">
        <v>5</v>
      </c>
      <c r="E190" s="27" t="inlineStr">
        <is>
          <t>Garrafas 5L</t>
        </is>
      </c>
      <c r="F190" s="29" t="inlineStr">
        <is>
          <t>COLOMBIA</t>
        </is>
      </c>
      <c r="G190" s="30" t="inlineStr">
        <is>
          <t>Sobre Pedido (Export)</t>
        </is>
      </c>
      <c r="H190" s="31" t="n">
        <v>0</v>
      </c>
      <c r="I190" s="31" t="n">
        <v>0</v>
      </c>
      <c r="J190" s="31" t="n">
        <v>0</v>
      </c>
      <c r="K190" s="31" t="n">
        <v>200</v>
      </c>
      <c r="L190" s="31" t="n">
        <v>0</v>
      </c>
      <c r="M190" s="32" t="n">
        <v>200</v>
      </c>
      <c r="N190" s="32" t="n">
        <v>1000</v>
      </c>
      <c r="O190" s="32" t="n">
        <v>200</v>
      </c>
      <c r="P190" s="32" t="n">
        <v>1000</v>
      </c>
      <c r="Q190" s="35" t="inlineStr">
        <is>
          <t>SOBRE PEDIDO (EXP)</t>
        </is>
      </c>
    </row>
    <row r="191" ht="19" customHeight="1">
      <c r="A191" s="18" t="inlineStr">
        <is>
          <t>C-CU0001</t>
        </is>
      </c>
      <c r="B191" s="33" t="inlineStr">
        <is>
          <t>C-CU0001GE</t>
        </is>
      </c>
      <c r="C191" s="20" t="inlineStr">
        <is>
          <t>CODICOBRE</t>
        </is>
      </c>
      <c r="D191" s="21" t="n">
        <v>1</v>
      </c>
      <c r="E191" s="20" t="inlineStr">
        <is>
          <t>Botellas 1L</t>
        </is>
      </c>
      <c r="F191" s="19" t="inlineStr">
        <is>
          <t>GEORGIA</t>
        </is>
      </c>
      <c r="G191" s="34" t="inlineStr">
        <is>
          <t>Sobre Pedido (Export)</t>
        </is>
      </c>
      <c r="H191" s="22" t="n">
        <v>0</v>
      </c>
      <c r="I191" s="22" t="n">
        <v>0</v>
      </c>
      <c r="J191" s="22" t="n">
        <v>0</v>
      </c>
      <c r="K191" s="22" t="n">
        <v>0</v>
      </c>
      <c r="L191" s="22" t="n">
        <v>960</v>
      </c>
      <c r="M191" s="23" t="n">
        <v>960</v>
      </c>
      <c r="N191" s="23" t="n">
        <v>960</v>
      </c>
      <c r="O191" s="23" t="n">
        <v>960</v>
      </c>
      <c r="P191" s="23" t="n">
        <v>960</v>
      </c>
      <c r="Q191" s="35" t="inlineStr">
        <is>
          <t>SOBRE PEDIDO (EXP)</t>
        </is>
      </c>
    </row>
    <row r="192" ht="19" customHeight="1">
      <c r="A192" s="25" t="inlineStr">
        <is>
          <t>C-CUAE0005</t>
        </is>
      </c>
      <c r="B192" s="29" t="inlineStr">
        <is>
          <t>C-CUAE0005</t>
        </is>
      </c>
      <c r="C192" s="27" t="inlineStr">
        <is>
          <t>CUPRAMEC, 5 L</t>
        </is>
      </c>
      <c r="D192" s="28" t="n">
        <v>5</v>
      </c>
      <c r="E192" s="27" t="inlineStr">
        <is>
          <t>Garrafas 5L</t>
        </is>
      </c>
      <c r="F192" s="29" t="inlineStr">
        <is>
          <t>ESPAÑA</t>
        </is>
      </c>
      <c r="G192" s="29" t="inlineStr">
        <is>
          <t>Para Previsión (Nac)</t>
        </is>
      </c>
      <c r="H192" s="31" t="n">
        <v>1340</v>
      </c>
      <c r="I192" s="31" t="n">
        <v>0</v>
      </c>
      <c r="J192" s="31" t="n">
        <v>0</v>
      </c>
      <c r="K192" s="31" t="n">
        <v>900</v>
      </c>
      <c r="L192" s="31" t="n">
        <v>600</v>
      </c>
      <c r="M192" s="32" t="n">
        <v>1500</v>
      </c>
      <c r="N192" s="32" t="n">
        <v>7500</v>
      </c>
      <c r="O192" s="32" t="n">
        <v>160</v>
      </c>
      <c r="P192" s="32" t="n">
        <v>800</v>
      </c>
      <c r="Q192" s="35" t="inlineStr">
        <is>
          <t>SOLO ENVASAR</t>
        </is>
      </c>
    </row>
    <row r="193" ht="19" customHeight="1">
      <c r="A193" s="18" t="inlineStr">
        <is>
          <t>FLOR0001</t>
        </is>
      </c>
      <c r="B193" s="33" t="inlineStr">
        <is>
          <t>FLOR0001DO</t>
        </is>
      </c>
      <c r="C193" s="20" t="inlineStr">
        <is>
          <t>FLORAMEC</t>
        </is>
      </c>
      <c r="D193" s="21" t="n">
        <v>1</v>
      </c>
      <c r="E193" s="20" t="inlineStr">
        <is>
          <t>Botellas 1L</t>
        </is>
      </c>
      <c r="F193" s="19" t="inlineStr">
        <is>
          <t>DOMINICANA, REPÚBLICA</t>
        </is>
      </c>
      <c r="G193" s="34" t="inlineStr">
        <is>
          <t>Sobre Pedido (Export)</t>
        </is>
      </c>
      <c r="H193" s="22" t="n">
        <v>0</v>
      </c>
      <c r="I193" s="22" t="n">
        <v>0</v>
      </c>
      <c r="J193" s="22" t="n">
        <v>0</v>
      </c>
      <c r="K193" s="22" t="n">
        <v>800</v>
      </c>
      <c r="L193" s="22" t="n">
        <v>0</v>
      </c>
      <c r="M193" s="23" t="n">
        <v>800</v>
      </c>
      <c r="N193" s="23" t="n">
        <v>800</v>
      </c>
      <c r="O193" s="23" t="n">
        <v>800</v>
      </c>
      <c r="P193" s="23" t="n">
        <v>800</v>
      </c>
      <c r="Q193" s="35" t="inlineStr">
        <is>
          <t>SOBRE PEDIDO (EXP)</t>
        </is>
      </c>
    </row>
    <row r="194" ht="19" customHeight="1">
      <c r="A194" s="25" t="inlineStr">
        <is>
          <t>BIO0001</t>
        </is>
      </c>
      <c r="B194" s="26" t="inlineStr">
        <is>
          <t>BIO0001RO</t>
        </is>
      </c>
      <c r="C194" s="27" t="inlineStr">
        <is>
          <t>BIORAD-20</t>
        </is>
      </c>
      <c r="D194" s="28" t="n">
        <v>1</v>
      </c>
      <c r="E194" s="27" t="inlineStr">
        <is>
          <t>Botellas 1L</t>
        </is>
      </c>
      <c r="F194" s="29" t="inlineStr">
        <is>
          <t>RUMANÍA</t>
        </is>
      </c>
      <c r="G194" s="30" t="inlineStr">
        <is>
          <t>Sobre Pedido (Export)</t>
        </is>
      </c>
      <c r="H194" s="31" t="n">
        <v>6</v>
      </c>
      <c r="I194" s="31" t="n">
        <v>0</v>
      </c>
      <c r="J194" s="31" t="n">
        <v>792</v>
      </c>
      <c r="K194" s="31" t="n">
        <v>0</v>
      </c>
      <c r="L194" s="31" t="n">
        <v>0</v>
      </c>
      <c r="M194" s="32" t="n">
        <v>792</v>
      </c>
      <c r="N194" s="32" t="n">
        <v>792</v>
      </c>
      <c r="O194" s="32" t="n">
        <v>786</v>
      </c>
      <c r="P194" s="32" t="n">
        <v>786</v>
      </c>
      <c r="Q194" s="35" t="inlineStr">
        <is>
          <t>SOBRE PEDIDO (EXP)</t>
        </is>
      </c>
    </row>
    <row r="195" ht="19" customHeight="1">
      <c r="A195" s="18" t="inlineStr">
        <is>
          <t>C-L0001</t>
        </is>
      </c>
      <c r="B195" s="33" t="inlineStr">
        <is>
          <t>C-L0001RO</t>
        </is>
      </c>
      <c r="C195" s="20" t="inlineStr">
        <is>
          <t>CODIBOR-L, 1 L</t>
        </is>
      </c>
      <c r="D195" s="21" t="n">
        <v>1</v>
      </c>
      <c r="E195" s="20" t="inlineStr">
        <is>
          <t>Botellas 1L</t>
        </is>
      </c>
      <c r="F195" s="19" t="inlineStr">
        <is>
          <t>RUMANÍA</t>
        </is>
      </c>
      <c r="G195" s="34" t="inlineStr">
        <is>
          <t>Sobre Pedido (Export)</t>
        </is>
      </c>
      <c r="H195" s="22" t="n">
        <v>60</v>
      </c>
      <c r="I195" s="22" t="n">
        <v>0</v>
      </c>
      <c r="J195" s="22" t="n">
        <v>792</v>
      </c>
      <c r="K195" s="22" t="n">
        <v>0</v>
      </c>
      <c r="L195" s="22" t="n">
        <v>0</v>
      </c>
      <c r="M195" s="23" t="n">
        <v>792</v>
      </c>
      <c r="N195" s="23" t="n">
        <v>792</v>
      </c>
      <c r="O195" s="23" t="n">
        <v>732</v>
      </c>
      <c r="P195" s="23" t="n">
        <v>732</v>
      </c>
      <c r="Q195" s="35" t="inlineStr">
        <is>
          <t>SOBRE PEDIDO (EXP)</t>
        </is>
      </c>
    </row>
    <row r="196" ht="19" customHeight="1">
      <c r="A196" s="25" t="inlineStr">
        <is>
          <t>B0001RORU</t>
        </is>
      </c>
      <c r="B196" s="29" t="inlineStr">
        <is>
          <t>B0001RORU</t>
        </is>
      </c>
      <c r="C196" s="27" t="inlineStr">
        <is>
          <t>BOROCAL</t>
        </is>
      </c>
      <c r="D196" s="28" t="n">
        <v>1</v>
      </c>
      <c r="E196" s="27" t="inlineStr">
        <is>
          <t>Botellas 1L</t>
        </is>
      </c>
      <c r="F196" s="29" t="inlineStr">
        <is>
          <t>RUMANÍA</t>
        </is>
      </c>
      <c r="G196" s="30" t="inlineStr">
        <is>
          <t>Sobre Pedido (Export)</t>
        </is>
      </c>
      <c r="H196" s="31" t="n">
        <v>0</v>
      </c>
      <c r="I196" s="31" t="n">
        <v>0</v>
      </c>
      <c r="J196" s="31" t="n">
        <v>0</v>
      </c>
      <c r="K196" s="31" t="n">
        <v>660</v>
      </c>
      <c r="L196" s="31" t="n">
        <v>0</v>
      </c>
      <c r="M196" s="32" t="n">
        <v>660</v>
      </c>
      <c r="N196" s="32" t="n">
        <v>660</v>
      </c>
      <c r="O196" s="32" t="n">
        <v>660</v>
      </c>
      <c r="P196" s="32" t="n">
        <v>660</v>
      </c>
      <c r="Q196" s="35" t="inlineStr">
        <is>
          <t>SOBRE PEDIDO (EXP)</t>
        </is>
      </c>
    </row>
    <row r="197" ht="19" customHeight="1">
      <c r="A197" s="18" t="inlineStr">
        <is>
          <t>PML0001</t>
        </is>
      </c>
      <c r="B197" s="33" t="inlineStr">
        <is>
          <t>PML0001RO</t>
        </is>
      </c>
      <c r="C197" s="20" t="inlineStr">
        <is>
          <t>POLIGREEN MIX L</t>
        </is>
      </c>
      <c r="D197" s="21" t="n">
        <v>1</v>
      </c>
      <c r="E197" s="20" t="inlineStr">
        <is>
          <t>Botellas 1L</t>
        </is>
      </c>
      <c r="F197" s="19" t="inlineStr">
        <is>
          <t>RUMANÍA</t>
        </is>
      </c>
      <c r="G197" s="34" t="inlineStr">
        <is>
          <t>Sobre Pedido (Export)</t>
        </is>
      </c>
      <c r="H197" s="22" t="n">
        <v>0</v>
      </c>
      <c r="I197" s="22" t="n">
        <v>0</v>
      </c>
      <c r="J197" s="22" t="n">
        <v>0</v>
      </c>
      <c r="K197" s="22" t="n">
        <v>660</v>
      </c>
      <c r="L197" s="22" t="n">
        <v>0</v>
      </c>
      <c r="M197" s="23" t="n">
        <v>660</v>
      </c>
      <c r="N197" s="23" t="n">
        <v>660</v>
      </c>
      <c r="O197" s="23" t="n">
        <v>660</v>
      </c>
      <c r="P197" s="23" t="n">
        <v>660</v>
      </c>
      <c r="Q197" s="35" t="inlineStr">
        <is>
          <t>SOBRE PEDIDO (EXP)</t>
        </is>
      </c>
    </row>
    <row r="198" ht="19" customHeight="1">
      <c r="A198" s="25" t="inlineStr">
        <is>
          <t>SS0001</t>
        </is>
      </c>
      <c r="B198" s="26" t="inlineStr">
        <is>
          <t>SS0001DO</t>
        </is>
      </c>
      <c r="C198" s="27" t="inlineStr">
        <is>
          <t>SAL-WAX Ca</t>
        </is>
      </c>
      <c r="D198" s="28" t="n">
        <v>1</v>
      </c>
      <c r="E198" s="27" t="inlineStr">
        <is>
          <t>Botellas 1L</t>
        </is>
      </c>
      <c r="F198" s="29" t="inlineStr">
        <is>
          <t>DOMINICANA, REPÚBLICA</t>
        </is>
      </c>
      <c r="G198" s="30" t="inlineStr">
        <is>
          <t>Sobre Pedido (Export)</t>
        </is>
      </c>
      <c r="H198" s="31" t="n">
        <v>0</v>
      </c>
      <c r="I198" s="31" t="n">
        <v>0</v>
      </c>
      <c r="J198" s="31" t="n">
        <v>0</v>
      </c>
      <c r="K198" s="31" t="n">
        <v>640</v>
      </c>
      <c r="L198" s="31" t="n">
        <v>0</v>
      </c>
      <c r="M198" s="32" t="n">
        <v>640</v>
      </c>
      <c r="N198" s="32" t="n">
        <v>640</v>
      </c>
      <c r="O198" s="32" t="n">
        <v>640</v>
      </c>
      <c r="P198" s="32" t="n">
        <v>640</v>
      </c>
      <c r="Q198" s="35" t="inlineStr">
        <is>
          <t>SOBRE PEDIDO (EXP)</t>
        </is>
      </c>
    </row>
    <row r="199" ht="19" customHeight="1">
      <c r="A199" s="18" t="inlineStr">
        <is>
          <t>PT0001</t>
        </is>
      </c>
      <c r="B199" s="33" t="inlineStr">
        <is>
          <t>PT0001PA</t>
        </is>
      </c>
      <c r="C199" s="20" t="inlineStr">
        <is>
          <t>AGROPOTASION, 1 L</t>
        </is>
      </c>
      <c r="D199" s="21" t="n">
        <v>1</v>
      </c>
      <c r="E199" s="20" t="inlineStr">
        <is>
          <t>Botellas 1L</t>
        </is>
      </c>
      <c r="F199" s="19" t="inlineStr">
        <is>
          <t>PANAMÁ</t>
        </is>
      </c>
      <c r="G199" s="34" t="inlineStr">
        <is>
          <t>Sobre Pedido (Export)</t>
        </is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528</v>
      </c>
      <c r="M199" s="23" t="n">
        <v>528</v>
      </c>
      <c r="N199" s="23" t="n">
        <v>528</v>
      </c>
      <c r="O199" s="23" t="n">
        <v>528</v>
      </c>
      <c r="P199" s="23" t="n">
        <v>528</v>
      </c>
      <c r="Q199" s="35" t="inlineStr">
        <is>
          <t>SOBRE PEDIDO (EXP)</t>
        </is>
      </c>
    </row>
    <row r="200" ht="19" customHeight="1">
      <c r="A200" s="25" t="inlineStr">
        <is>
          <t>SS0001</t>
        </is>
      </c>
      <c r="B200" s="26" t="inlineStr">
        <is>
          <t>SS0001PA</t>
        </is>
      </c>
      <c r="C200" s="27" t="inlineStr">
        <is>
          <t>SAL-WAX Ca</t>
        </is>
      </c>
      <c r="D200" s="28" t="n">
        <v>1</v>
      </c>
      <c r="E200" s="27" t="inlineStr">
        <is>
          <t>Botellas 1L</t>
        </is>
      </c>
      <c r="F200" s="29" t="inlineStr">
        <is>
          <t>PANAMÁ</t>
        </is>
      </c>
      <c r="G200" s="30" t="inlineStr">
        <is>
          <t>Sobre Pedido (Export)</t>
        </is>
      </c>
      <c r="H200" s="31" t="n">
        <v>0</v>
      </c>
      <c r="I200" s="31" t="n">
        <v>0</v>
      </c>
      <c r="J200" s="31" t="n">
        <v>0</v>
      </c>
      <c r="K200" s="31" t="n">
        <v>0</v>
      </c>
      <c r="L200" s="31" t="n">
        <v>528</v>
      </c>
      <c r="M200" s="32" t="n">
        <v>528</v>
      </c>
      <c r="N200" s="32" t="n">
        <v>528</v>
      </c>
      <c r="O200" s="32" t="n">
        <v>528</v>
      </c>
      <c r="P200" s="32" t="n">
        <v>528</v>
      </c>
      <c r="Q200" s="35" t="inlineStr">
        <is>
          <t>SOBRE PEDIDO (EXP)</t>
        </is>
      </c>
    </row>
    <row r="201" ht="19" customHeight="1">
      <c r="A201" s="18" t="inlineStr">
        <is>
          <t>C-CU0001</t>
        </is>
      </c>
      <c r="B201" s="33" t="inlineStr">
        <is>
          <t>C-CU0001RS</t>
        </is>
      </c>
      <c r="C201" s="20" t="inlineStr">
        <is>
          <t>CODICOBRE</t>
        </is>
      </c>
      <c r="D201" s="21" t="n">
        <v>1</v>
      </c>
      <c r="E201" s="20" t="inlineStr">
        <is>
          <t>Botellas 1L</t>
        </is>
      </c>
      <c r="F201" s="19" t="inlineStr">
        <is>
          <t>SERBIA</t>
        </is>
      </c>
      <c r="G201" s="34" t="inlineStr">
        <is>
          <t>Sobre Pedido (Export)</t>
        </is>
      </c>
      <c r="H201" s="22" t="n">
        <v>0</v>
      </c>
      <c r="I201" s="22" t="n">
        <v>0</v>
      </c>
      <c r="J201" s="22" t="n">
        <v>0</v>
      </c>
      <c r="K201" s="22" t="n">
        <v>0</v>
      </c>
      <c r="L201" s="22" t="n">
        <v>500</v>
      </c>
      <c r="M201" s="23" t="n">
        <v>500</v>
      </c>
      <c r="N201" s="23" t="n">
        <v>500</v>
      </c>
      <c r="O201" s="23" t="n">
        <v>500</v>
      </c>
      <c r="P201" s="23" t="n">
        <v>500</v>
      </c>
      <c r="Q201" s="35" t="inlineStr">
        <is>
          <t>SOBRE PEDIDO (EXP)</t>
        </is>
      </c>
    </row>
    <row r="202" ht="19" customHeight="1">
      <c r="A202" s="25" t="inlineStr">
        <is>
          <t>SPCE20001</t>
        </is>
      </c>
      <c r="B202" s="26" t="inlineStr">
        <is>
          <t>SPCE20001CR</t>
        </is>
      </c>
      <c r="C202" s="27" t="inlineStr">
        <is>
          <t>SPRINTENE ZNMN 1L</t>
        </is>
      </c>
      <c r="D202" s="28" t="n">
        <v>1</v>
      </c>
      <c r="E202" s="27" t="inlineStr">
        <is>
          <t>Botellas 1L</t>
        </is>
      </c>
      <c r="F202" s="29" t="inlineStr">
        <is>
          <t>COSTA RICA</t>
        </is>
      </c>
      <c r="G202" s="30" t="inlineStr">
        <is>
          <t>Sobre Pedido (Export)</t>
        </is>
      </c>
      <c r="H202" s="31" t="n">
        <v>0</v>
      </c>
      <c r="I202" s="31" t="n">
        <v>0</v>
      </c>
      <c r="J202" s="31" t="n">
        <v>0</v>
      </c>
      <c r="K202" s="31" t="n">
        <v>500</v>
      </c>
      <c r="L202" s="31" t="n">
        <v>0</v>
      </c>
      <c r="M202" s="32" t="n">
        <v>500</v>
      </c>
      <c r="N202" s="32" t="n">
        <v>500</v>
      </c>
      <c r="O202" s="32" t="n">
        <v>500</v>
      </c>
      <c r="P202" s="32" t="n">
        <v>500</v>
      </c>
      <c r="Q202" s="35" t="inlineStr">
        <is>
          <t>SOBRE PEDIDO (EXP)</t>
        </is>
      </c>
    </row>
    <row r="203" ht="19" customHeight="1">
      <c r="A203" s="18" t="inlineStr">
        <is>
          <t>PHD0005</t>
        </is>
      </c>
      <c r="B203" s="19" t="inlineStr">
        <is>
          <t>PHD0005</t>
        </is>
      </c>
      <c r="C203" s="20" t="inlineStr">
        <is>
          <t>PH-DOWNER, 5 L</t>
        </is>
      </c>
      <c r="D203" s="21" t="n">
        <v>5</v>
      </c>
      <c r="E203" s="20" t="inlineStr">
        <is>
          <t>Garrafas 5L</t>
        </is>
      </c>
      <c r="F203" s="19" t="inlineStr">
        <is>
          <t>ESPAÑA</t>
        </is>
      </c>
      <c r="G203" s="19" t="inlineStr">
        <is>
          <t>Para Previsión (Nac)</t>
        </is>
      </c>
      <c r="H203" s="22" t="n">
        <v>20</v>
      </c>
      <c r="I203" s="22" t="n">
        <v>0</v>
      </c>
      <c r="J203" s="22" t="n">
        <v>0</v>
      </c>
      <c r="K203" s="22" t="n">
        <v>100</v>
      </c>
      <c r="L203" s="22" t="n">
        <v>0</v>
      </c>
      <c r="M203" s="23" t="n">
        <v>100</v>
      </c>
      <c r="N203" s="23" t="n">
        <v>500</v>
      </c>
      <c r="O203" s="23" t="n">
        <v>80</v>
      </c>
      <c r="P203" s="23" t="n">
        <v>400</v>
      </c>
      <c r="Q203" s="35" t="inlineStr">
        <is>
          <t>SOLO ENVASAR</t>
        </is>
      </c>
    </row>
    <row r="204" ht="19" customHeight="1">
      <c r="A204" s="25" t="inlineStr">
        <is>
          <t>AGXKAE0001</t>
        </is>
      </c>
      <c r="B204" s="26" t="inlineStr">
        <is>
          <t>AGXKAE0001RO</t>
        </is>
      </c>
      <c r="C204" s="27" t="inlineStr">
        <is>
          <t>BIOCULTURE POTASIO</t>
        </is>
      </c>
      <c r="D204" s="28" t="n">
        <v>1</v>
      </c>
      <c r="E204" s="27" t="inlineStr">
        <is>
          <t>Botellas 1L</t>
        </is>
      </c>
      <c r="F204" s="29" t="inlineStr">
        <is>
          <t>RUMANÍA</t>
        </is>
      </c>
      <c r="G204" s="30" t="inlineStr">
        <is>
          <t>Sobre Pedido (Export)</t>
        </is>
      </c>
      <c r="H204" s="31" t="n">
        <v>0</v>
      </c>
      <c r="I204" s="31" t="n">
        <v>0</v>
      </c>
      <c r="J204" s="31" t="n">
        <v>396</v>
      </c>
      <c r="K204" s="31" t="n">
        <v>0</v>
      </c>
      <c r="L204" s="31" t="n">
        <v>0</v>
      </c>
      <c r="M204" s="32" t="n">
        <v>396</v>
      </c>
      <c r="N204" s="32" t="n">
        <v>396</v>
      </c>
      <c r="O204" s="32" t="n">
        <v>396</v>
      </c>
      <c r="P204" s="32" t="n">
        <v>396</v>
      </c>
      <c r="Q204" s="35" t="inlineStr">
        <is>
          <t>SOBRE PEDIDO (EXP)</t>
        </is>
      </c>
    </row>
    <row r="205" ht="19" customHeight="1">
      <c r="A205" s="18" t="inlineStr">
        <is>
          <t>SPCE2B0001</t>
        </is>
      </c>
      <c r="B205" s="33" t="inlineStr">
        <is>
          <t>SPCE2B0001DO</t>
        </is>
      </c>
      <c r="C205" s="20" t="inlineStr">
        <is>
          <t>SPRINTENE CON BORO, 1 L</t>
        </is>
      </c>
      <c r="D205" s="21" t="n">
        <v>1</v>
      </c>
      <c r="E205" s="20" t="inlineStr">
        <is>
          <t>Botellas 1L</t>
        </is>
      </c>
      <c r="F205" s="19" t="inlineStr">
        <is>
          <t>DOMINICANA, REPÚBLICA</t>
        </is>
      </c>
      <c r="G205" s="34" t="inlineStr">
        <is>
          <t>Sobre Pedido (Export)</t>
        </is>
      </c>
      <c r="H205" s="22" t="n">
        <v>0</v>
      </c>
      <c r="I205" s="22" t="n">
        <v>0</v>
      </c>
      <c r="J205" s="22" t="n">
        <v>0</v>
      </c>
      <c r="K205" s="22" t="n">
        <v>360</v>
      </c>
      <c r="L205" s="22" t="n">
        <v>0</v>
      </c>
      <c r="M205" s="23" t="n">
        <v>360</v>
      </c>
      <c r="N205" s="23" t="n">
        <v>360</v>
      </c>
      <c r="O205" s="23" t="n">
        <v>360</v>
      </c>
      <c r="P205" s="23" t="n">
        <v>360</v>
      </c>
      <c r="Q205" s="35" t="inlineStr">
        <is>
          <t>SOBRE PEDIDO (EXP)</t>
        </is>
      </c>
    </row>
    <row r="206" ht="19" customHeight="1">
      <c r="A206" s="25" t="inlineStr">
        <is>
          <t>C-L0001</t>
        </is>
      </c>
      <c r="B206" s="26" t="inlineStr">
        <is>
          <t>C-L0001DO</t>
        </is>
      </c>
      <c r="C206" s="27" t="inlineStr">
        <is>
          <t>CODIBOR-L, 1 L</t>
        </is>
      </c>
      <c r="D206" s="28" t="n">
        <v>1</v>
      </c>
      <c r="E206" s="27" t="inlineStr">
        <is>
          <t>Botellas 1L</t>
        </is>
      </c>
      <c r="F206" s="29" t="inlineStr">
        <is>
          <t>DOMINICANA, REPÚBLICA</t>
        </is>
      </c>
      <c r="G206" s="30" t="inlineStr">
        <is>
          <t>Sobre Pedido (Export)</t>
        </is>
      </c>
      <c r="H206" s="31" t="n">
        <v>0</v>
      </c>
      <c r="I206" s="31" t="n">
        <v>0</v>
      </c>
      <c r="J206" s="31" t="n">
        <v>0</v>
      </c>
      <c r="K206" s="31" t="n">
        <v>300</v>
      </c>
      <c r="L206" s="31" t="n">
        <v>0</v>
      </c>
      <c r="M206" s="32" t="n">
        <v>300</v>
      </c>
      <c r="N206" s="32" t="n">
        <v>300</v>
      </c>
      <c r="O206" s="32" t="n">
        <v>300</v>
      </c>
      <c r="P206" s="32" t="n">
        <v>300</v>
      </c>
      <c r="Q206" s="35" t="inlineStr">
        <is>
          <t>SOBRE PEDIDO (EXP)</t>
        </is>
      </c>
    </row>
    <row r="207" ht="19" customHeight="1">
      <c r="A207" s="18" t="inlineStr">
        <is>
          <t>AVAN0001</t>
        </is>
      </c>
      <c r="B207" s="33" t="inlineStr">
        <is>
          <t>AVAN0001RO</t>
        </is>
      </c>
      <c r="C207" s="20" t="inlineStr">
        <is>
          <t>CODI-FLOR AVANCE, 1 L</t>
        </is>
      </c>
      <c r="D207" s="21" t="n">
        <v>1</v>
      </c>
      <c r="E207" s="20" t="inlineStr">
        <is>
          <t>Botellas 1L</t>
        </is>
      </c>
      <c r="F207" s="19" t="inlineStr">
        <is>
          <t>RUMANÍA</t>
        </is>
      </c>
      <c r="G207" s="34" t="inlineStr">
        <is>
          <t>Sobre Pedido (Export)</t>
        </is>
      </c>
      <c r="H207" s="22" t="n">
        <v>0</v>
      </c>
      <c r="I207" s="22" t="n">
        <v>0</v>
      </c>
      <c r="J207" s="22" t="n">
        <v>0</v>
      </c>
      <c r="K207" s="22" t="n">
        <v>300</v>
      </c>
      <c r="L207" s="22" t="n">
        <v>0</v>
      </c>
      <c r="M207" s="23" t="n">
        <v>300</v>
      </c>
      <c r="N207" s="23" t="n">
        <v>300</v>
      </c>
      <c r="O207" s="23" t="n">
        <v>300</v>
      </c>
      <c r="P207" s="23" t="n">
        <v>300</v>
      </c>
      <c r="Q207" s="35" t="inlineStr">
        <is>
          <t>SOBRE PEDIDO (EXP)</t>
        </is>
      </c>
    </row>
    <row r="208" ht="19" customHeight="1">
      <c r="A208" s="25" t="inlineStr">
        <is>
          <t>PK500001</t>
        </is>
      </c>
      <c r="B208" s="26" t="inlineStr">
        <is>
          <t>PK500001RO</t>
        </is>
      </c>
      <c r="C208" s="27" t="inlineStr">
        <is>
          <t>POLIFRUIT K50</t>
        </is>
      </c>
      <c r="D208" s="28" t="n">
        <v>1</v>
      </c>
      <c r="E208" s="27" t="inlineStr">
        <is>
          <t>Botellas 1L</t>
        </is>
      </c>
      <c r="F208" s="29" t="inlineStr">
        <is>
          <t>RUMANÍA</t>
        </is>
      </c>
      <c r="G208" s="30" t="inlineStr">
        <is>
          <t>Sobre Pedido (Export)</t>
        </is>
      </c>
      <c r="H208" s="31" t="n">
        <v>0</v>
      </c>
      <c r="I208" s="31" t="n">
        <v>0</v>
      </c>
      <c r="J208" s="31" t="n">
        <v>0</v>
      </c>
      <c r="K208" s="31" t="n">
        <v>300</v>
      </c>
      <c r="L208" s="31" t="n">
        <v>0</v>
      </c>
      <c r="M208" s="32" t="n">
        <v>300</v>
      </c>
      <c r="N208" s="32" t="n">
        <v>300</v>
      </c>
      <c r="O208" s="32" t="n">
        <v>300</v>
      </c>
      <c r="P208" s="32" t="n">
        <v>300</v>
      </c>
      <c r="Q208" s="35" t="inlineStr">
        <is>
          <t>SOBRE PEDIDO (EXP)</t>
        </is>
      </c>
    </row>
    <row r="209" ht="19" customHeight="1">
      <c r="A209" s="18" t="inlineStr">
        <is>
          <t>FLOR0001</t>
        </is>
      </c>
      <c r="B209" s="33" t="inlineStr">
        <is>
          <t>FLOR0001RO</t>
        </is>
      </c>
      <c r="C209" s="20" t="inlineStr">
        <is>
          <t>FLORAMEC</t>
        </is>
      </c>
      <c r="D209" s="21" t="n">
        <v>1</v>
      </c>
      <c r="E209" s="20" t="inlineStr">
        <is>
          <t>Botellas 1L</t>
        </is>
      </c>
      <c r="F209" s="19" t="inlineStr">
        <is>
          <t>RUMANÍA</t>
        </is>
      </c>
      <c r="G209" s="34" t="inlineStr">
        <is>
          <t>Sobre Pedido (Export)</t>
        </is>
      </c>
      <c r="H209" s="22" t="n">
        <v>12</v>
      </c>
      <c r="I209" s="22" t="n">
        <v>0</v>
      </c>
      <c r="J209" s="22" t="n">
        <v>0</v>
      </c>
      <c r="K209" s="22" t="n">
        <v>300</v>
      </c>
      <c r="L209" s="22" t="n">
        <v>0</v>
      </c>
      <c r="M209" s="23" t="n">
        <v>300</v>
      </c>
      <c r="N209" s="23" t="n">
        <v>300</v>
      </c>
      <c r="O209" s="23" t="n">
        <v>288</v>
      </c>
      <c r="P209" s="23" t="n">
        <v>288</v>
      </c>
      <c r="Q209" s="35" t="inlineStr">
        <is>
          <t>SOBRE PEDIDO (EXP)</t>
        </is>
      </c>
    </row>
    <row r="210" ht="19" customHeight="1">
      <c r="A210" s="25" t="inlineStr">
        <is>
          <t>G30001</t>
        </is>
      </c>
      <c r="B210" s="26" t="inlineStr">
        <is>
          <t>G30001CO</t>
        </is>
      </c>
      <c r="C210" s="27" t="inlineStr">
        <is>
          <t>GREEN-UP, 1 L</t>
        </is>
      </c>
      <c r="D210" s="28" t="n">
        <v>1</v>
      </c>
      <c r="E210" s="27" t="inlineStr">
        <is>
          <t>Botellas 1L</t>
        </is>
      </c>
      <c r="F210" s="29" t="inlineStr">
        <is>
          <t>COLOMBIA</t>
        </is>
      </c>
      <c r="G210" s="30" t="inlineStr">
        <is>
          <t>Sobre Pedido (Export)</t>
        </is>
      </c>
      <c r="H210" s="31" t="n">
        <v>0</v>
      </c>
      <c r="I210" s="31" t="n">
        <v>240</v>
      </c>
      <c r="J210" s="31" t="n">
        <v>0</v>
      </c>
      <c r="K210" s="31" t="n">
        <v>0</v>
      </c>
      <c r="L210" s="31" t="n">
        <v>0</v>
      </c>
      <c r="M210" s="32" t="n">
        <v>240</v>
      </c>
      <c r="N210" s="32" t="n">
        <v>240</v>
      </c>
      <c r="O210" s="32" t="n">
        <v>240</v>
      </c>
      <c r="P210" s="32" t="n">
        <v>240</v>
      </c>
      <c r="Q210" s="35" t="inlineStr">
        <is>
          <t>SOBRE PEDIDO (EXP)</t>
        </is>
      </c>
    </row>
    <row r="211" ht="19" customHeight="1">
      <c r="A211" s="18" t="inlineStr">
        <is>
          <t>F-A0001</t>
        </is>
      </c>
      <c r="B211" s="33" t="inlineStr">
        <is>
          <t>F-A0001CO</t>
        </is>
      </c>
      <c r="C211" s="20" t="inlineStr">
        <is>
          <t>FITOLIN-AGRO, 1 L</t>
        </is>
      </c>
      <c r="D211" s="21" t="n">
        <v>1</v>
      </c>
      <c r="E211" s="20" t="inlineStr">
        <is>
          <t>Botellas 1L</t>
        </is>
      </c>
      <c r="F211" s="19" t="inlineStr">
        <is>
          <t>COLOMBIA</t>
        </is>
      </c>
      <c r="G211" s="34" t="inlineStr">
        <is>
          <t>Sobre Pedido (Export)</t>
        </is>
      </c>
      <c r="H211" s="22" t="n">
        <v>0</v>
      </c>
      <c r="I211" s="22" t="n">
        <v>0</v>
      </c>
      <c r="J211" s="22" t="n">
        <v>0</v>
      </c>
      <c r="K211" s="22" t="n">
        <v>240</v>
      </c>
      <c r="L211" s="22" t="n">
        <v>0</v>
      </c>
      <c r="M211" s="23" t="n">
        <v>240</v>
      </c>
      <c r="N211" s="23" t="n">
        <v>240</v>
      </c>
      <c r="O211" s="23" t="n">
        <v>240</v>
      </c>
      <c r="P211" s="23" t="n">
        <v>240</v>
      </c>
      <c r="Q211" s="35" t="inlineStr">
        <is>
          <t>SOBRE PEDIDO (EXP)</t>
        </is>
      </c>
    </row>
    <row r="212" ht="19" customHeight="1">
      <c r="A212" s="25" t="inlineStr">
        <is>
          <t>HST0005</t>
        </is>
      </c>
      <c r="B212" s="29" t="inlineStr">
        <is>
          <t>HST0005</t>
        </is>
      </c>
      <c r="C212" s="27" t="inlineStr">
        <is>
          <t>HIDROSTRESS-40, 5 L</t>
        </is>
      </c>
      <c r="D212" s="28" t="n">
        <v>5</v>
      </c>
      <c r="E212" s="27" t="inlineStr">
        <is>
          <t>Garrafas 5L</t>
        </is>
      </c>
      <c r="F212" s="29" t="inlineStr">
        <is>
          <t>ESPAÑA</t>
        </is>
      </c>
      <c r="G212" s="29" t="inlineStr">
        <is>
          <t>Para Previsión (Nac)</t>
        </is>
      </c>
      <c r="H212" s="31" t="n">
        <v>180</v>
      </c>
      <c r="I212" s="31" t="n">
        <v>0</v>
      </c>
      <c r="J212" s="31" t="n">
        <v>40</v>
      </c>
      <c r="K212" s="31" t="n">
        <v>40</v>
      </c>
      <c r="L212" s="31" t="n">
        <v>140</v>
      </c>
      <c r="M212" s="32" t="n">
        <v>220</v>
      </c>
      <c r="N212" s="32" t="n">
        <v>1100</v>
      </c>
      <c r="O212" s="32" t="n">
        <v>40</v>
      </c>
      <c r="P212" s="32" t="n">
        <v>200</v>
      </c>
      <c r="Q212" s="35" t="inlineStr">
        <is>
          <t>SOLO ENVASAR</t>
        </is>
      </c>
    </row>
    <row r="213" ht="19" customHeight="1">
      <c r="A213" s="18" t="inlineStr">
        <is>
          <t>FLORCR0001</t>
        </is>
      </c>
      <c r="B213" s="33" t="inlineStr">
        <is>
          <t>FLORCR0001CO</t>
        </is>
      </c>
      <c r="C213" s="20" t="inlineStr">
        <is>
          <t>FLORAMEC CR, 1 L</t>
        </is>
      </c>
      <c r="D213" s="21" t="n">
        <v>1</v>
      </c>
      <c r="E213" s="20" t="inlineStr">
        <is>
          <t>Botellas 1L</t>
        </is>
      </c>
      <c r="F213" s="19" t="inlineStr">
        <is>
          <t>COLOMBIA</t>
        </is>
      </c>
      <c r="G213" s="34" t="inlineStr">
        <is>
          <t>Sobre Pedido (Export)</t>
        </is>
      </c>
      <c r="H213" s="22" t="n">
        <v>0</v>
      </c>
      <c r="I213" s="22" t="n">
        <v>0</v>
      </c>
      <c r="J213" s="22" t="n">
        <v>0</v>
      </c>
      <c r="K213" s="22" t="n">
        <v>200</v>
      </c>
      <c r="L213" s="22" t="n">
        <v>0</v>
      </c>
      <c r="M213" s="23" t="n">
        <v>200</v>
      </c>
      <c r="N213" s="23" t="n">
        <v>200</v>
      </c>
      <c r="O213" s="23" t="n">
        <v>200</v>
      </c>
      <c r="P213" s="23" t="n">
        <v>200</v>
      </c>
      <c r="Q213" s="35" t="inlineStr">
        <is>
          <t>SOBRE PEDIDO (EXP)</t>
        </is>
      </c>
    </row>
    <row r="214" ht="19" customHeight="1">
      <c r="A214" s="25" t="inlineStr">
        <is>
          <t>PT0005</t>
        </is>
      </c>
      <c r="B214" s="26" t="inlineStr">
        <is>
          <t>PT0005DO</t>
        </is>
      </c>
      <c r="C214" s="27" t="inlineStr">
        <is>
          <t>AGROPOTASION, 5 L</t>
        </is>
      </c>
      <c r="D214" s="28" t="n">
        <v>5</v>
      </c>
      <c r="E214" s="27" t="inlineStr">
        <is>
          <t>Garrafas 5L</t>
        </is>
      </c>
      <c r="F214" s="29" t="inlineStr">
        <is>
          <t>DOMINICANA, REPÚBLICA</t>
        </is>
      </c>
      <c r="G214" s="30" t="inlineStr">
        <is>
          <t>Sobre Pedido (Export)</t>
        </is>
      </c>
      <c r="H214" s="31" t="n">
        <v>980</v>
      </c>
      <c r="I214" s="31" t="n">
        <v>0</v>
      </c>
      <c r="J214" s="31" t="n">
        <v>0</v>
      </c>
      <c r="K214" s="31" t="n">
        <v>1000</v>
      </c>
      <c r="L214" s="31" t="n">
        <v>0</v>
      </c>
      <c r="M214" s="32" t="n">
        <v>1000</v>
      </c>
      <c r="N214" s="32" t="n">
        <v>5000</v>
      </c>
      <c r="O214" s="32" t="n">
        <v>20</v>
      </c>
      <c r="P214" s="32" t="n">
        <v>100</v>
      </c>
      <c r="Q214" s="35" t="inlineStr">
        <is>
          <t>SOBRE PEDIDO (EXP)</t>
        </is>
      </c>
    </row>
    <row r="215" ht="19" customHeight="1">
      <c r="A215" s="18" t="inlineStr">
        <is>
          <t>C-CU0001</t>
        </is>
      </c>
      <c r="B215" s="33" t="inlineStr">
        <is>
          <t>C-CU0001RO</t>
        </is>
      </c>
      <c r="C215" s="20" t="inlineStr">
        <is>
          <t>CODICOBRE</t>
        </is>
      </c>
      <c r="D215" s="21" t="n">
        <v>1</v>
      </c>
      <c r="E215" s="20" t="inlineStr">
        <is>
          <t>Botellas 1L</t>
        </is>
      </c>
      <c r="F215" s="19" t="inlineStr">
        <is>
          <t>RUMANÍA</t>
        </is>
      </c>
      <c r="G215" s="34" t="inlineStr">
        <is>
          <t>Sobre Pedido (Export)</t>
        </is>
      </c>
      <c r="H215" s="22" t="n">
        <v>588</v>
      </c>
      <c r="I215" s="22" t="n">
        <v>0</v>
      </c>
      <c r="J215" s="22" t="n">
        <v>0</v>
      </c>
      <c r="K215" s="22" t="n">
        <v>660</v>
      </c>
      <c r="L215" s="22" t="n">
        <v>0</v>
      </c>
      <c r="M215" s="23" t="n">
        <v>660</v>
      </c>
      <c r="N215" s="23" t="n">
        <v>660</v>
      </c>
      <c r="O215" s="23" t="n">
        <v>72</v>
      </c>
      <c r="P215" s="23" t="n">
        <v>72</v>
      </c>
      <c r="Q215" s="35" t="inlineStr">
        <is>
          <t>SOBRE PEDIDO (EXP)</t>
        </is>
      </c>
    </row>
    <row r="216" ht="19" customHeight="1">
      <c r="A216" s="25" t="inlineStr">
        <is>
          <t>B0001</t>
        </is>
      </c>
      <c r="B216" s="29" t="inlineStr">
        <is>
          <t>B0001</t>
        </is>
      </c>
      <c r="C216" s="27" t="inlineStr">
        <is>
          <t>BOROCAL,1 L</t>
        </is>
      </c>
      <c r="D216" s="28" t="n">
        <v>1</v>
      </c>
      <c r="E216" s="27" t="inlineStr">
        <is>
          <t>Botellas 1L</t>
        </is>
      </c>
      <c r="F216" s="29" t="inlineStr">
        <is>
          <t>ESPAÑA</t>
        </is>
      </c>
      <c r="G216" s="29" t="inlineStr">
        <is>
          <t>Para Previsión (Nac)</t>
        </is>
      </c>
      <c r="H216" s="31" t="n">
        <v>48</v>
      </c>
      <c r="I216" s="31" t="n">
        <v>0</v>
      </c>
      <c r="J216" s="31" t="n">
        <v>0</v>
      </c>
      <c r="K216" s="31" t="n">
        <v>12</v>
      </c>
      <c r="L216" s="31" t="n">
        <v>48</v>
      </c>
      <c r="M216" s="32" t="n">
        <v>60</v>
      </c>
      <c r="N216" s="32" t="n">
        <v>60</v>
      </c>
      <c r="O216" s="32" t="n">
        <v>12</v>
      </c>
      <c r="P216" s="32" t="n">
        <v>12</v>
      </c>
      <c r="Q216" s="35" t="inlineStr">
        <is>
          <t>SOLO ENVASAR</t>
        </is>
      </c>
    </row>
    <row r="217" ht="19" customHeight="1">
      <c r="A217" s="18" t="inlineStr">
        <is>
          <t>A-50(2)0020</t>
        </is>
      </c>
      <c r="B217" s="19" t="inlineStr">
        <is>
          <t>A-50(2)0020</t>
        </is>
      </c>
      <c r="C217" s="20" t="inlineStr">
        <is>
          <t>CODIORGAN A-50, 20 KG</t>
        </is>
      </c>
      <c r="D217" s="21" t="n">
        <v>20</v>
      </c>
      <c r="E217" s="20" t="inlineStr">
        <is>
          <t>Garrafas 20L</t>
        </is>
      </c>
      <c r="F217" s="19" t="inlineStr">
        <is>
          <t>ESPAÑA</t>
        </is>
      </c>
      <c r="G217" s="19" t="inlineStr">
        <is>
          <t>Para Previsión (Nac)</t>
        </is>
      </c>
      <c r="H217" s="22" t="n">
        <v>100</v>
      </c>
      <c r="I217" s="22" t="n">
        <v>100</v>
      </c>
      <c r="J217" s="22" t="n">
        <v>0</v>
      </c>
      <c r="K217" s="22" t="n">
        <v>0</v>
      </c>
      <c r="L217" s="22" t="n">
        <v>0</v>
      </c>
      <c r="M217" s="23" t="n">
        <v>100</v>
      </c>
      <c r="N217" s="23" t="n">
        <v>2000</v>
      </c>
      <c r="O217" s="23" t="n">
        <v>0</v>
      </c>
      <c r="P217" s="23" t="n">
        <v>0</v>
      </c>
      <c r="Q217" s="36" t="inlineStr">
        <is>
          <t>CUBIERTO</t>
        </is>
      </c>
    </row>
    <row r="218" ht="19" customHeight="1">
      <c r="A218" s="25" t="inlineStr">
        <is>
          <t>FU0020</t>
        </is>
      </c>
      <c r="B218" s="29" t="inlineStr">
        <is>
          <t>FU0020</t>
        </is>
      </c>
      <c r="C218" s="27" t="inlineStr">
        <is>
          <t>FULVIGIN, 20 L</t>
        </is>
      </c>
      <c r="D218" s="28" t="n">
        <v>20</v>
      </c>
      <c r="E218" s="27" t="inlineStr">
        <is>
          <t>Garrafas 20L</t>
        </is>
      </c>
      <c r="F218" s="29" t="inlineStr">
        <is>
          <t>ESPAÑA</t>
        </is>
      </c>
      <c r="G218" s="29" t="inlineStr">
        <is>
          <t>Para Previsión (Nac)</t>
        </is>
      </c>
      <c r="H218" s="31" t="n">
        <v>0</v>
      </c>
      <c r="I218" s="31" t="n">
        <v>0</v>
      </c>
      <c r="J218" s="31" t="n">
        <v>0</v>
      </c>
      <c r="K218" s="31" t="n">
        <v>0</v>
      </c>
      <c r="L218" s="31" t="n">
        <v>0</v>
      </c>
      <c r="M218" s="32" t="n">
        <v>0</v>
      </c>
      <c r="N218" s="32" t="n">
        <v>0</v>
      </c>
      <c r="O218" s="32" t="n">
        <v>0</v>
      </c>
      <c r="P218" s="32" t="n">
        <v>0</v>
      </c>
      <c r="Q218" s="36" t="inlineStr">
        <is>
          <t>CUBIERTO</t>
        </is>
      </c>
    </row>
    <row r="219" ht="19" customHeight="1">
      <c r="A219" s="18" t="inlineStr">
        <is>
          <t>AN0020</t>
        </is>
      </c>
      <c r="B219" s="19" t="inlineStr">
        <is>
          <t>AN0020</t>
        </is>
      </c>
      <c r="C219" s="20" t="inlineStr">
        <is>
          <t>ALCAPLANT NEW, 20 KG</t>
        </is>
      </c>
      <c r="D219" s="21" t="n">
        <v>20</v>
      </c>
      <c r="E219" s="20" t="inlineStr">
        <is>
          <t>Garrafas 20L</t>
        </is>
      </c>
      <c r="F219" s="19" t="inlineStr">
        <is>
          <t>ESPAÑA</t>
        </is>
      </c>
      <c r="G219" s="19" t="inlineStr">
        <is>
          <t>Para Previsión (Nac)</t>
        </is>
      </c>
      <c r="H219" s="22" t="n">
        <v>30100</v>
      </c>
      <c r="I219" s="22" t="n">
        <v>0</v>
      </c>
      <c r="J219" s="22" t="n">
        <v>12000</v>
      </c>
      <c r="K219" s="22" t="n">
        <v>17000</v>
      </c>
      <c r="L219" s="22" t="n">
        <v>1100</v>
      </c>
      <c r="M219" s="23" t="n">
        <v>30100</v>
      </c>
      <c r="N219" s="23" t="n">
        <v>602000</v>
      </c>
      <c r="O219" s="23" t="n">
        <v>0</v>
      </c>
      <c r="P219" s="23" t="n">
        <v>0</v>
      </c>
      <c r="Q219" s="36" t="inlineStr">
        <is>
          <t>CUBIERTO</t>
        </is>
      </c>
    </row>
    <row r="220" ht="19" customHeight="1">
      <c r="A220" s="25" t="inlineStr">
        <is>
          <t>BR-590005</t>
        </is>
      </c>
      <c r="B220" s="26" t="inlineStr">
        <is>
          <t>BR-590005CO</t>
        </is>
      </c>
      <c r="C220" s="27" t="inlineStr">
        <is>
          <t>BR-59, 5 KG</t>
        </is>
      </c>
      <c r="D220" s="28" t="n">
        <v>5</v>
      </c>
      <c r="E220" s="27" t="inlineStr">
        <is>
          <t>Garrafas 5L</t>
        </is>
      </c>
      <c r="F220" s="29" t="inlineStr">
        <is>
          <t>COLOMBIA</t>
        </is>
      </c>
      <c r="G220" s="30" t="inlineStr">
        <is>
          <t>Sobre Pedido (Export)</t>
        </is>
      </c>
      <c r="H220" s="31" t="n">
        <v>300</v>
      </c>
      <c r="I220" s="31" t="n">
        <v>0</v>
      </c>
      <c r="J220" s="31" t="n">
        <v>0</v>
      </c>
      <c r="K220" s="31" t="n">
        <v>300</v>
      </c>
      <c r="L220" s="31" t="n">
        <v>0</v>
      </c>
      <c r="M220" s="32" t="n">
        <v>300</v>
      </c>
      <c r="N220" s="32" t="n">
        <v>1500</v>
      </c>
      <c r="O220" s="32" t="n">
        <v>0</v>
      </c>
      <c r="P220" s="32" t="n">
        <v>0</v>
      </c>
      <c r="Q220" s="36" t="inlineStr">
        <is>
          <t>CUBIERTO</t>
        </is>
      </c>
    </row>
    <row r="221" ht="19" customHeight="1">
      <c r="A221" s="18" t="inlineStr">
        <is>
          <t>AGFEL0001</t>
        </is>
      </c>
      <c r="B221" s="19" t="inlineStr">
        <is>
          <t>AGFEL0001</t>
        </is>
      </c>
      <c r="C221" s="20" t="inlineStr">
        <is>
          <t>AGROXILATO-FE-L, 1 L</t>
        </is>
      </c>
      <c r="D221" s="21" t="n">
        <v>1</v>
      </c>
      <c r="E221" s="20" t="inlineStr">
        <is>
          <t>Botellas 1L</t>
        </is>
      </c>
      <c r="F221" s="19" t="inlineStr">
        <is>
          <t>ESPAÑA</t>
        </is>
      </c>
      <c r="G221" s="19" t="inlineStr">
        <is>
          <t>Para Previsión (Nac)</t>
        </is>
      </c>
      <c r="H221" s="22" t="n">
        <v>0</v>
      </c>
      <c r="I221" s="22" t="n">
        <v>0</v>
      </c>
      <c r="J221" s="22" t="n">
        <v>0</v>
      </c>
      <c r="K221" s="22" t="n">
        <v>0</v>
      </c>
      <c r="L221" s="22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36" t="inlineStr">
        <is>
          <t>CUBIERTO</t>
        </is>
      </c>
    </row>
    <row r="222" ht="19" customHeight="1">
      <c r="A222" s="25" t="inlineStr">
        <is>
          <t>AGFEL0005</t>
        </is>
      </c>
      <c r="B222" s="29" t="inlineStr">
        <is>
          <t>AGFEL0005</t>
        </is>
      </c>
      <c r="C222" s="27" t="inlineStr">
        <is>
          <t>AGROXILATO-FE-L, 5 L</t>
        </is>
      </c>
      <c r="D222" s="28" t="n">
        <v>5</v>
      </c>
      <c r="E222" s="27" t="inlineStr">
        <is>
          <t>Garrafas 5L</t>
        </is>
      </c>
      <c r="F222" s="29" t="inlineStr">
        <is>
          <t>ESPAÑA</t>
        </is>
      </c>
      <c r="G222" s="29" t="inlineStr">
        <is>
          <t>Para Previsión (Nac)</t>
        </is>
      </c>
      <c r="H222" s="31" t="n">
        <v>0</v>
      </c>
      <c r="I222" s="31" t="n">
        <v>0</v>
      </c>
      <c r="J222" s="31" t="n">
        <v>0</v>
      </c>
      <c r="K222" s="31" t="n">
        <v>0</v>
      </c>
      <c r="L222" s="31" t="n">
        <v>0</v>
      </c>
      <c r="M222" s="32" t="n">
        <v>0</v>
      </c>
      <c r="N222" s="32" t="n">
        <v>0</v>
      </c>
      <c r="O222" s="32" t="n">
        <v>0</v>
      </c>
      <c r="P222" s="32" t="n">
        <v>0</v>
      </c>
      <c r="Q222" s="36" t="inlineStr">
        <is>
          <t>CUBIERTO</t>
        </is>
      </c>
    </row>
    <row r="223" ht="19" customHeight="1">
      <c r="A223" s="18" t="inlineStr">
        <is>
          <t>AGRMG0005</t>
        </is>
      </c>
      <c r="B223" s="19" t="inlineStr">
        <is>
          <t>AGRMG0005</t>
        </is>
      </c>
      <c r="C223" s="20" t="inlineStr">
        <is>
          <t>AGROXIGREEN-MG, 5 L</t>
        </is>
      </c>
      <c r="D223" s="21" t="n">
        <v>5</v>
      </c>
      <c r="E223" s="20" t="inlineStr">
        <is>
          <t>Garrafas 5L</t>
        </is>
      </c>
      <c r="F223" s="19" t="inlineStr">
        <is>
          <t>ESPAÑA</t>
        </is>
      </c>
      <c r="G223" s="19" t="inlineStr">
        <is>
          <t>Para Previsión (Nac)</t>
        </is>
      </c>
      <c r="H223" s="22" t="n">
        <v>0</v>
      </c>
      <c r="I223" s="22" t="n">
        <v>0</v>
      </c>
      <c r="J223" s="22" t="n">
        <v>0</v>
      </c>
      <c r="K223" s="22" t="n">
        <v>0</v>
      </c>
      <c r="L223" s="22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36" t="inlineStr">
        <is>
          <t>CUBIERTO</t>
        </is>
      </c>
    </row>
    <row r="224" ht="19" customHeight="1">
      <c r="A224" s="25" t="inlineStr">
        <is>
          <t>AMIMG0005</t>
        </is>
      </c>
      <c r="B224" s="29" t="inlineStr">
        <is>
          <t>AMIMG0005</t>
        </is>
      </c>
      <c r="C224" s="27" t="inlineStr">
        <is>
          <t>AMINOSOIL-MG, 5L</t>
        </is>
      </c>
      <c r="D224" s="28" t="n">
        <v>5</v>
      </c>
      <c r="E224" s="27" t="inlineStr">
        <is>
          <t>Garrafas 5L</t>
        </is>
      </c>
      <c r="F224" s="29" t="inlineStr">
        <is>
          <t>ESPAÑA</t>
        </is>
      </c>
      <c r="G224" s="29" t="inlineStr">
        <is>
          <t>Para Previsión (Nac)</t>
        </is>
      </c>
      <c r="H224" s="31" t="n">
        <v>0</v>
      </c>
      <c r="I224" s="31" t="n">
        <v>0</v>
      </c>
      <c r="J224" s="31" t="n">
        <v>0</v>
      </c>
      <c r="K224" s="31" t="n">
        <v>0</v>
      </c>
      <c r="L224" s="31" t="n">
        <v>0</v>
      </c>
      <c r="M224" s="32" t="n">
        <v>0</v>
      </c>
      <c r="N224" s="32" t="n">
        <v>0</v>
      </c>
      <c r="O224" s="32" t="n">
        <v>0</v>
      </c>
      <c r="P224" s="32" t="n">
        <v>0</v>
      </c>
      <c r="Q224" s="36" t="inlineStr">
        <is>
          <t>CUBIERTO</t>
        </is>
      </c>
    </row>
    <row r="225" ht="19" customHeight="1">
      <c r="A225" s="18" t="inlineStr">
        <is>
          <t>AN0005</t>
        </is>
      </c>
      <c r="B225" s="19" t="inlineStr">
        <is>
          <t>AN0005</t>
        </is>
      </c>
      <c r="C225" s="20" t="inlineStr">
        <is>
          <t>ALCAPLANT NEW, 5 KG</t>
        </is>
      </c>
      <c r="D225" s="21" t="n">
        <v>5</v>
      </c>
      <c r="E225" s="20" t="inlineStr">
        <is>
          <t>Garrafas 5L</t>
        </is>
      </c>
      <c r="F225" s="19" t="inlineStr">
        <is>
          <t>ESPAÑA</t>
        </is>
      </c>
      <c r="G225" s="19" t="inlineStr">
        <is>
          <t>Para Previsión (Nac)</t>
        </is>
      </c>
      <c r="H225" s="22" t="n">
        <v>20</v>
      </c>
      <c r="I225" s="22" t="n">
        <v>20</v>
      </c>
      <c r="J225" s="22" t="n">
        <v>0</v>
      </c>
      <c r="K225" s="22" t="n">
        <v>0</v>
      </c>
      <c r="L225" s="22" t="n">
        <v>0</v>
      </c>
      <c r="M225" s="23" t="n">
        <v>20</v>
      </c>
      <c r="N225" s="23" t="n">
        <v>100</v>
      </c>
      <c r="O225" s="23" t="n">
        <v>0</v>
      </c>
      <c r="P225" s="23" t="n">
        <v>0</v>
      </c>
      <c r="Q225" s="36" t="inlineStr">
        <is>
          <t>CUBIERTO</t>
        </is>
      </c>
    </row>
    <row r="226" ht="19" customHeight="1">
      <c r="A226" s="25" t="inlineStr">
        <is>
          <t>AQUOM0005</t>
        </is>
      </c>
      <c r="B226" s="29" t="inlineStr">
        <is>
          <t>AQUOM0005</t>
        </is>
      </c>
      <c r="C226" s="27" t="inlineStr">
        <is>
          <t>AQUOM, 5 L</t>
        </is>
      </c>
      <c r="D226" s="28" t="n">
        <v>5</v>
      </c>
      <c r="E226" s="27" t="inlineStr">
        <is>
          <t>Garrafas 5L</t>
        </is>
      </c>
      <c r="F226" s="29" t="inlineStr">
        <is>
          <t>ESPAÑA</t>
        </is>
      </c>
      <c r="G226" s="29" t="inlineStr">
        <is>
          <t>Para Previsión (Nac)</t>
        </is>
      </c>
      <c r="H226" s="31" t="n">
        <v>0</v>
      </c>
      <c r="I226" s="31" t="n">
        <v>0</v>
      </c>
      <c r="J226" s="31" t="n">
        <v>0</v>
      </c>
      <c r="K226" s="31" t="n">
        <v>0</v>
      </c>
      <c r="L226" s="31" t="n">
        <v>0</v>
      </c>
      <c r="M226" s="32" t="n">
        <v>0</v>
      </c>
      <c r="N226" s="32" t="n">
        <v>0</v>
      </c>
      <c r="O226" s="32" t="n">
        <v>0</v>
      </c>
      <c r="P226" s="32" t="n">
        <v>0</v>
      </c>
      <c r="Q226" s="36" t="inlineStr">
        <is>
          <t>CUBIERTO</t>
        </is>
      </c>
    </row>
    <row r="227" ht="19" customHeight="1">
      <c r="A227" s="18" t="inlineStr">
        <is>
          <t>BR-59AE0005</t>
        </is>
      </c>
      <c r="B227" s="19" t="inlineStr">
        <is>
          <t>BR-59AE0005</t>
        </is>
      </c>
      <c r="C227" s="20" t="inlineStr">
        <is>
          <t>BR-59 AE, 5 KG</t>
        </is>
      </c>
      <c r="D227" s="21" t="n">
        <v>5</v>
      </c>
      <c r="E227" s="20" t="inlineStr">
        <is>
          <t>Garrafas 5L</t>
        </is>
      </c>
      <c r="F227" s="19" t="inlineStr">
        <is>
          <t>ESPAÑA</t>
        </is>
      </c>
      <c r="G227" s="19" t="inlineStr">
        <is>
          <t>Para Previsión (Nac)</t>
        </is>
      </c>
      <c r="H227" s="22" t="n">
        <v>0</v>
      </c>
      <c r="I227" s="22" t="n">
        <v>0</v>
      </c>
      <c r="J227" s="22" t="n">
        <v>0</v>
      </c>
      <c r="K227" s="22" t="n">
        <v>0</v>
      </c>
      <c r="L227" s="22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36" t="inlineStr">
        <is>
          <t>CUBIERTO</t>
        </is>
      </c>
    </row>
    <row r="228" ht="19" customHeight="1">
      <c r="A228" s="25" t="inlineStr">
        <is>
          <t>C-CU0005</t>
        </is>
      </c>
      <c r="B228" s="29" t="inlineStr">
        <is>
          <t>C-CU0005</t>
        </is>
      </c>
      <c r="C228" s="27" t="inlineStr">
        <is>
          <t>CODICOBRE, 5 L</t>
        </is>
      </c>
      <c r="D228" s="28" t="n">
        <v>5</v>
      </c>
      <c r="E228" s="27" t="inlineStr">
        <is>
          <t>Garrafas 5L</t>
        </is>
      </c>
      <c r="F228" s="29" t="inlineStr">
        <is>
          <t>ESPAÑA</t>
        </is>
      </c>
      <c r="G228" s="29" t="inlineStr">
        <is>
          <t>Para Previsión (Nac)</t>
        </is>
      </c>
      <c r="H228" s="31" t="n">
        <v>1200</v>
      </c>
      <c r="I228" s="31" t="n">
        <v>0</v>
      </c>
      <c r="J228" s="31" t="n">
        <v>700</v>
      </c>
      <c r="K228" s="31" t="n">
        <v>300</v>
      </c>
      <c r="L228" s="31" t="n">
        <v>200</v>
      </c>
      <c r="M228" s="32" t="n">
        <v>1200</v>
      </c>
      <c r="N228" s="32" t="n">
        <v>6000</v>
      </c>
      <c r="O228" s="32" t="n">
        <v>0</v>
      </c>
      <c r="P228" s="32" t="n">
        <v>0</v>
      </c>
      <c r="Q228" s="36" t="inlineStr">
        <is>
          <t>CUBIERTO</t>
        </is>
      </c>
    </row>
    <row r="229" ht="19" customHeight="1">
      <c r="A229" s="18" t="inlineStr">
        <is>
          <t>PT0005</t>
        </is>
      </c>
      <c r="B229" s="19" t="inlineStr">
        <is>
          <t>PT0005</t>
        </is>
      </c>
      <c r="C229" s="20" t="inlineStr">
        <is>
          <t>AGROPOTASION, 5 L</t>
        </is>
      </c>
      <c r="D229" s="21" t="n">
        <v>5</v>
      </c>
      <c r="E229" s="20" t="inlineStr">
        <is>
          <t>Garrafas 5L</t>
        </is>
      </c>
      <c r="F229" s="19" t="inlineStr">
        <is>
          <t>ESPAÑA</t>
        </is>
      </c>
      <c r="G229" s="19" t="inlineStr">
        <is>
          <t>Para Previsión (Nac)</t>
        </is>
      </c>
      <c r="H229" s="22" t="n">
        <v>700</v>
      </c>
      <c r="I229" s="22" t="n">
        <v>0</v>
      </c>
      <c r="J229" s="22" t="n">
        <v>200</v>
      </c>
      <c r="K229" s="22" t="n">
        <v>0</v>
      </c>
      <c r="L229" s="22" t="n">
        <v>500</v>
      </c>
      <c r="M229" s="23" t="n">
        <v>700</v>
      </c>
      <c r="N229" s="23" t="n">
        <v>3500</v>
      </c>
      <c r="O229" s="23" t="n">
        <v>0</v>
      </c>
      <c r="P229" s="23" t="n">
        <v>0</v>
      </c>
      <c r="Q229" s="36" t="inlineStr">
        <is>
          <t>CUBIERTO</t>
        </is>
      </c>
    </row>
    <row r="230" ht="19" customHeight="1">
      <c r="A230" s="25" t="inlineStr">
        <is>
          <t>WHITE0020</t>
        </is>
      </c>
      <c r="B230" s="29" t="inlineStr">
        <is>
          <t>WHITE0020</t>
        </is>
      </c>
      <c r="C230" s="27" t="inlineStr">
        <is>
          <t>AGROWHITE, 20 KG</t>
        </is>
      </c>
      <c r="D230" s="28" t="n">
        <v>20</v>
      </c>
      <c r="E230" s="27" t="inlineStr">
        <is>
          <t>Garrafas 20L</t>
        </is>
      </c>
      <c r="F230" s="29" t="inlineStr">
        <is>
          <t>ESPAÑA</t>
        </is>
      </c>
      <c r="G230" s="29" t="inlineStr">
        <is>
          <t>Para Previsión (Nac)</t>
        </is>
      </c>
      <c r="H230" s="31" t="n">
        <v>1100</v>
      </c>
      <c r="I230" s="31" t="n">
        <v>0</v>
      </c>
      <c r="J230" s="31" t="n">
        <v>1100</v>
      </c>
      <c r="K230" s="31" t="n">
        <v>0</v>
      </c>
      <c r="L230" s="31" t="n">
        <v>0</v>
      </c>
      <c r="M230" s="32" t="n">
        <v>1100</v>
      </c>
      <c r="N230" s="32" t="n">
        <v>22000</v>
      </c>
      <c r="O230" s="32" t="n">
        <v>0</v>
      </c>
      <c r="P230" s="32" t="n">
        <v>0</v>
      </c>
      <c r="Q230" s="36" t="inlineStr">
        <is>
          <t>CUBIERTO</t>
        </is>
      </c>
    </row>
    <row r="231" ht="19" customHeight="1">
      <c r="A231" s="18" t="inlineStr">
        <is>
          <t>BROTA0005</t>
        </is>
      </c>
      <c r="B231" s="19" t="inlineStr">
        <is>
          <t>BROTA0005</t>
        </is>
      </c>
      <c r="C231" s="20" t="inlineStr">
        <is>
          <t>BROTAMEC, 5 L</t>
        </is>
      </c>
      <c r="D231" s="21" t="n">
        <v>5</v>
      </c>
      <c r="E231" s="20" t="inlineStr">
        <is>
          <t>Garrafas 5L</t>
        </is>
      </c>
      <c r="F231" s="19" t="inlineStr">
        <is>
          <t>ESPAÑA</t>
        </is>
      </c>
      <c r="G231" s="19" t="inlineStr">
        <is>
          <t>Para Previsión (Nac)</t>
        </is>
      </c>
      <c r="H231" s="22" t="n">
        <v>2300</v>
      </c>
      <c r="I231" s="22" t="n">
        <v>0</v>
      </c>
      <c r="J231" s="22" t="n">
        <v>900</v>
      </c>
      <c r="K231" s="22" t="n">
        <v>700</v>
      </c>
      <c r="L231" s="22" t="n">
        <v>700</v>
      </c>
      <c r="M231" s="23" t="n">
        <v>2300</v>
      </c>
      <c r="N231" s="23" t="n">
        <v>11500</v>
      </c>
      <c r="O231" s="23" t="n">
        <v>0</v>
      </c>
      <c r="P231" s="23" t="n">
        <v>0</v>
      </c>
      <c r="Q231" s="36" t="inlineStr">
        <is>
          <t>CUBIERTO</t>
        </is>
      </c>
    </row>
    <row r="232" ht="19" customHeight="1">
      <c r="A232" s="25" t="inlineStr">
        <is>
          <t>C-GLB0001</t>
        </is>
      </c>
      <c r="B232" s="29" t="inlineStr">
        <is>
          <t>C-GLB0001</t>
        </is>
      </c>
      <c r="C232" s="27" t="inlineStr">
        <is>
          <t>CODIORGAN GLB, 1 KG</t>
        </is>
      </c>
      <c r="D232" s="28" t="n">
        <v>1</v>
      </c>
      <c r="E232" s="27" t="inlineStr">
        <is>
          <t>Botellas 1L</t>
        </is>
      </c>
      <c r="F232" s="29" t="inlineStr">
        <is>
          <t>ESPAÑA</t>
        </is>
      </c>
      <c r="G232" s="29" t="inlineStr">
        <is>
          <t>Para Previsión (Nac)</t>
        </is>
      </c>
      <c r="H232" s="31" t="n">
        <v>552</v>
      </c>
      <c r="I232" s="31" t="n">
        <v>0</v>
      </c>
      <c r="J232" s="31" t="n">
        <v>228</v>
      </c>
      <c r="K232" s="31" t="n">
        <v>108</v>
      </c>
      <c r="L232" s="31" t="n">
        <v>216</v>
      </c>
      <c r="M232" s="32" t="n">
        <v>552</v>
      </c>
      <c r="N232" s="32" t="n">
        <v>552</v>
      </c>
      <c r="O232" s="32" t="n">
        <v>0</v>
      </c>
      <c r="P232" s="32" t="n">
        <v>0</v>
      </c>
      <c r="Q232" s="36" t="inlineStr">
        <is>
          <t>CUBIERTO</t>
        </is>
      </c>
    </row>
    <row r="233" ht="19" customHeight="1">
      <c r="A233" s="18" t="inlineStr">
        <is>
          <t>CSIL0020</t>
        </is>
      </c>
      <c r="B233" s="19" t="inlineStr">
        <is>
          <t>CSIL0020</t>
        </is>
      </c>
      <c r="C233" s="20" t="inlineStr">
        <is>
          <t>FITOKONTROL-K, 20 L</t>
        </is>
      </c>
      <c r="D233" s="21" t="n">
        <v>20</v>
      </c>
      <c r="E233" s="20" t="inlineStr">
        <is>
          <t>Garrafas 20L</t>
        </is>
      </c>
      <c r="F233" s="19" t="inlineStr">
        <is>
          <t>ESPAÑA</t>
        </is>
      </c>
      <c r="G233" s="19" t="inlineStr">
        <is>
          <t>Para Previsión (Nac)</t>
        </is>
      </c>
      <c r="H233" s="22" t="n">
        <v>0</v>
      </c>
      <c r="I233" s="22" t="n">
        <v>0</v>
      </c>
      <c r="J233" s="22" t="n">
        <v>0</v>
      </c>
      <c r="K233" s="22" t="n">
        <v>0</v>
      </c>
      <c r="L233" s="22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36" t="inlineStr">
        <is>
          <t>CUBIERTO</t>
        </is>
      </c>
    </row>
    <row r="234" ht="19" customHeight="1">
      <c r="A234" s="25" t="inlineStr">
        <is>
          <t>FU0005</t>
        </is>
      </c>
      <c r="B234" s="29" t="inlineStr">
        <is>
          <t>FU0005</t>
        </is>
      </c>
      <c r="C234" s="27" t="inlineStr">
        <is>
          <t>FULVIGIN, 5 L</t>
        </is>
      </c>
      <c r="D234" s="28" t="n">
        <v>5</v>
      </c>
      <c r="E234" s="27" t="inlineStr">
        <is>
          <t>Garrafas 5L</t>
        </is>
      </c>
      <c r="F234" s="29" t="inlineStr">
        <is>
          <t>ESPAÑA</t>
        </is>
      </c>
      <c r="G234" s="29" t="inlineStr">
        <is>
          <t>Para Previsión (Nac)</t>
        </is>
      </c>
      <c r="H234" s="31" t="n">
        <v>0</v>
      </c>
      <c r="I234" s="31" t="n">
        <v>0</v>
      </c>
      <c r="J234" s="31" t="n">
        <v>0</v>
      </c>
      <c r="K234" s="31" t="n">
        <v>0</v>
      </c>
      <c r="L234" s="31" t="n">
        <v>0</v>
      </c>
      <c r="M234" s="32" t="n">
        <v>0</v>
      </c>
      <c r="N234" s="32" t="n">
        <v>0</v>
      </c>
      <c r="O234" s="32" t="n">
        <v>0</v>
      </c>
      <c r="P234" s="32" t="n">
        <v>0</v>
      </c>
      <c r="Q234" s="36" t="inlineStr">
        <is>
          <t>CUBIERTO</t>
        </is>
      </c>
    </row>
    <row r="235" ht="19" customHeight="1">
      <c r="A235" s="18" t="inlineStr">
        <is>
          <t>AGRMGN0020</t>
        </is>
      </c>
      <c r="B235" s="19" t="inlineStr">
        <is>
          <t>AGRMGN0020</t>
        </is>
      </c>
      <c r="C235" s="20" t="inlineStr">
        <is>
          <t>AGROXIGREEN-MG, 20 L</t>
        </is>
      </c>
      <c r="D235" s="21" t="n">
        <v>20</v>
      </c>
      <c r="E235" s="20" t="inlineStr">
        <is>
          <t>Garrafas 20L</t>
        </is>
      </c>
      <c r="F235" s="19" t="inlineStr">
        <is>
          <t>ESPAÑA</t>
        </is>
      </c>
      <c r="G235" s="19" t="inlineStr">
        <is>
          <t>Para Previsión (Nac)</t>
        </is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36" t="inlineStr">
        <is>
          <t>CUBIERTO</t>
        </is>
      </c>
    </row>
    <row r="236" ht="19" customHeight="1">
      <c r="A236" s="25" t="inlineStr">
        <is>
          <t>C-CUAE0020</t>
        </is>
      </c>
      <c r="B236" s="29" t="inlineStr">
        <is>
          <t>C-CUAE0020</t>
        </is>
      </c>
      <c r="C236" s="27" t="inlineStr">
        <is>
          <t>CUPRAMEC, 20 L</t>
        </is>
      </c>
      <c r="D236" s="28" t="n">
        <v>20</v>
      </c>
      <c r="E236" s="27" t="inlineStr">
        <is>
          <t>Garrafas 20L</t>
        </is>
      </c>
      <c r="F236" s="29" t="inlineStr">
        <is>
          <t>ESPAÑA</t>
        </is>
      </c>
      <c r="G236" s="29" t="inlineStr">
        <is>
          <t>Para Previsión (Nac)</t>
        </is>
      </c>
      <c r="H236" s="31" t="n">
        <v>0</v>
      </c>
      <c r="I236" s="31" t="n">
        <v>0</v>
      </c>
      <c r="J236" s="31" t="n">
        <v>0</v>
      </c>
      <c r="K236" s="31" t="n">
        <v>0</v>
      </c>
      <c r="L236" s="31" t="n">
        <v>0</v>
      </c>
      <c r="M236" s="32" t="n">
        <v>0</v>
      </c>
      <c r="N236" s="32" t="n">
        <v>0</v>
      </c>
      <c r="O236" s="32" t="n">
        <v>0</v>
      </c>
      <c r="P236" s="32" t="n">
        <v>0</v>
      </c>
      <c r="Q236" s="36" t="inlineStr">
        <is>
          <t>CUBIERTO</t>
        </is>
      </c>
    </row>
    <row r="237" ht="19" customHeight="1">
      <c r="A237" s="18" t="inlineStr">
        <is>
          <t>FROST-P0005</t>
        </is>
      </c>
      <c r="B237" s="19" t="inlineStr">
        <is>
          <t>FROST-P0005</t>
        </is>
      </c>
      <c r="C237" s="20" t="inlineStr">
        <is>
          <t>CODIFROST PLUS, 5 L</t>
        </is>
      </c>
      <c r="D237" s="21" t="n">
        <v>5</v>
      </c>
      <c r="E237" s="20" t="inlineStr">
        <is>
          <t>Garrafas 5L</t>
        </is>
      </c>
      <c r="F237" s="19" t="inlineStr">
        <is>
          <t>ESPAÑA</t>
        </is>
      </c>
      <c r="G237" s="19" t="inlineStr">
        <is>
          <t>Para Previsión (Nac)</t>
        </is>
      </c>
      <c r="H237" s="22" t="n">
        <v>0</v>
      </c>
      <c r="I237" s="22" t="n">
        <v>0</v>
      </c>
      <c r="J237" s="22" t="n">
        <v>0</v>
      </c>
      <c r="K237" s="22" t="n">
        <v>0</v>
      </c>
      <c r="L237" s="22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36" t="inlineStr">
        <is>
          <t>CUBIERTO</t>
        </is>
      </c>
    </row>
    <row r="238" ht="19" customHeight="1">
      <c r="A238" s="25" t="inlineStr">
        <is>
          <t>RUN0020</t>
        </is>
      </c>
      <c r="B238" s="29" t="inlineStr">
        <is>
          <t>RUN0020</t>
        </is>
      </c>
      <c r="C238" s="27" t="inlineStr">
        <is>
          <t>RUN STRESS, 20 L</t>
        </is>
      </c>
      <c r="D238" s="28" t="n">
        <v>20</v>
      </c>
      <c r="E238" s="27" t="inlineStr">
        <is>
          <t>Garrafas 20L</t>
        </is>
      </c>
      <c r="F238" s="29" t="inlineStr">
        <is>
          <t>ESPAÑA</t>
        </is>
      </c>
      <c r="G238" s="29" t="inlineStr">
        <is>
          <t>Para Previsión (Nac)</t>
        </is>
      </c>
      <c r="H238" s="31" t="n">
        <v>0</v>
      </c>
      <c r="I238" s="31" t="n">
        <v>0</v>
      </c>
      <c r="J238" s="31" t="n">
        <v>0</v>
      </c>
      <c r="K238" s="31" t="n">
        <v>0</v>
      </c>
      <c r="L238" s="31" t="n">
        <v>0</v>
      </c>
      <c r="M238" s="32" t="n">
        <v>0</v>
      </c>
      <c r="N238" s="32" t="n">
        <v>0</v>
      </c>
      <c r="O238" s="32" t="n">
        <v>0</v>
      </c>
      <c r="P238" s="32" t="n">
        <v>0</v>
      </c>
      <c r="Q238" s="36" t="inlineStr">
        <is>
          <t>CUBIERTO</t>
        </is>
      </c>
    </row>
    <row r="239" ht="19" customHeight="1">
      <c r="A239" s="18" t="inlineStr">
        <is>
          <t>AQUOM0001</t>
        </is>
      </c>
      <c r="B239" s="19" t="inlineStr">
        <is>
          <t>AQUOM0001</t>
        </is>
      </c>
      <c r="C239" s="20" t="inlineStr">
        <is>
          <t>AQUOM, 1 L</t>
        </is>
      </c>
      <c r="D239" s="21" t="n">
        <v>1</v>
      </c>
      <c r="E239" s="20" t="inlineStr">
        <is>
          <t>Botellas 1L</t>
        </is>
      </c>
      <c r="F239" s="19" t="inlineStr">
        <is>
          <t>ESPAÑA</t>
        </is>
      </c>
      <c r="G239" s="19" t="inlineStr">
        <is>
          <t>Para Previsión (Nac)</t>
        </is>
      </c>
      <c r="H239" s="22" t="n">
        <v>0</v>
      </c>
      <c r="I239" s="22" t="n">
        <v>0</v>
      </c>
      <c r="J239" s="22" t="n">
        <v>0</v>
      </c>
      <c r="K239" s="22" t="n">
        <v>0</v>
      </c>
      <c r="L239" s="22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36" t="inlineStr">
        <is>
          <t>CUBIERTO</t>
        </is>
      </c>
    </row>
    <row r="240" ht="19" customHeight="1">
      <c r="A240" s="25" t="inlineStr">
        <is>
          <t>B0005</t>
        </is>
      </c>
      <c r="B240" s="29" t="inlineStr">
        <is>
          <t>B0005</t>
        </is>
      </c>
      <c r="C240" s="27" t="inlineStr">
        <is>
          <t>BOROCAL, 5 L</t>
        </is>
      </c>
      <c r="D240" s="28" t="n">
        <v>5</v>
      </c>
      <c r="E240" s="27" t="inlineStr">
        <is>
          <t>Garrafas 5L</t>
        </is>
      </c>
      <c r="F240" s="29" t="inlineStr">
        <is>
          <t>ESPAÑA</t>
        </is>
      </c>
      <c r="G240" s="29" t="inlineStr">
        <is>
          <t>Para Previsión (Nac)</t>
        </is>
      </c>
      <c r="H240" s="31" t="n">
        <v>520</v>
      </c>
      <c r="I240" s="31" t="n">
        <v>0</v>
      </c>
      <c r="J240" s="31" t="n">
        <v>400</v>
      </c>
      <c r="K240" s="31" t="n">
        <v>20</v>
      </c>
      <c r="L240" s="31" t="n">
        <v>100</v>
      </c>
      <c r="M240" s="32" t="n">
        <v>520</v>
      </c>
      <c r="N240" s="32" t="n">
        <v>2600</v>
      </c>
      <c r="O240" s="32" t="n">
        <v>0</v>
      </c>
      <c r="P240" s="32" t="n">
        <v>0</v>
      </c>
      <c r="Q240" s="36" t="inlineStr">
        <is>
          <t>CUBIERTO</t>
        </is>
      </c>
    </row>
    <row r="241" ht="19" customHeight="1">
      <c r="A241" s="18" t="inlineStr">
        <is>
          <t>C-GLB0005</t>
        </is>
      </c>
      <c r="B241" s="19" t="inlineStr">
        <is>
          <t>C-GLB0005</t>
        </is>
      </c>
      <c r="C241" s="20" t="inlineStr">
        <is>
          <t>CODIORGAN GLB, 5 KG</t>
        </is>
      </c>
      <c r="D241" s="21" t="n">
        <v>5</v>
      </c>
      <c r="E241" s="20" t="inlineStr">
        <is>
          <t>Garrafas 5L</t>
        </is>
      </c>
      <c r="F241" s="19" t="inlineStr">
        <is>
          <t>ESPAÑA</t>
        </is>
      </c>
      <c r="G241" s="19" t="inlineStr">
        <is>
          <t>Para Previsión (Nac)</t>
        </is>
      </c>
      <c r="H241" s="22" t="n">
        <v>20</v>
      </c>
      <c r="I241" s="22" t="n">
        <v>20</v>
      </c>
      <c r="J241" s="22" t="n">
        <v>0</v>
      </c>
      <c r="K241" s="22" t="n">
        <v>0</v>
      </c>
      <c r="L241" s="22" t="n">
        <v>0</v>
      </c>
      <c r="M241" s="23" t="n">
        <v>20</v>
      </c>
      <c r="N241" s="23" t="n">
        <v>100</v>
      </c>
      <c r="O241" s="23" t="n">
        <v>0</v>
      </c>
      <c r="P241" s="23" t="n">
        <v>0</v>
      </c>
      <c r="Q241" s="36" t="inlineStr">
        <is>
          <t>CUBIERTO</t>
        </is>
      </c>
    </row>
    <row r="242" ht="19" customHeight="1">
      <c r="A242" s="25" t="inlineStr">
        <is>
          <t>PIV0005</t>
        </is>
      </c>
      <c r="B242" s="29" t="inlineStr">
        <is>
          <t>PIV0005</t>
        </is>
      </c>
      <c r="C242" s="27" t="inlineStr">
        <is>
          <t>PGR IV, 5 L</t>
        </is>
      </c>
      <c r="D242" s="28" t="n">
        <v>5</v>
      </c>
      <c r="E242" s="27" t="inlineStr">
        <is>
          <t>Garrafas 5L</t>
        </is>
      </c>
      <c r="F242" s="29" t="inlineStr">
        <is>
          <t>ESPAÑA</t>
        </is>
      </c>
      <c r="G242" s="29" t="inlineStr">
        <is>
          <t>Para Previsión (Nac)</t>
        </is>
      </c>
      <c r="H242" s="31" t="n">
        <v>200</v>
      </c>
      <c r="I242" s="31" t="n">
        <v>200</v>
      </c>
      <c r="J242" s="31" t="n">
        <v>0</v>
      </c>
      <c r="K242" s="31" t="n">
        <v>0</v>
      </c>
      <c r="L242" s="31" t="n">
        <v>0</v>
      </c>
      <c r="M242" s="32" t="n">
        <v>200</v>
      </c>
      <c r="N242" s="32" t="n">
        <v>1000</v>
      </c>
      <c r="O242" s="32" t="n">
        <v>0</v>
      </c>
      <c r="P242" s="32" t="n">
        <v>0</v>
      </c>
      <c r="Q242" s="36" t="inlineStr">
        <is>
          <t>CUBIERTO</t>
        </is>
      </c>
    </row>
    <row r="243" ht="19" customHeight="1">
      <c r="A243" s="18" t="inlineStr">
        <is>
          <t>S0005</t>
        </is>
      </c>
      <c r="B243" s="19" t="inlineStr">
        <is>
          <t>S0005</t>
        </is>
      </c>
      <c r="C243" s="20" t="inlineStr">
        <is>
          <t>SAL-WAX STAR, 5 L</t>
        </is>
      </c>
      <c r="D243" s="21" t="n">
        <v>5</v>
      </c>
      <c r="E243" s="20" t="inlineStr">
        <is>
          <t>Garrafas 5L</t>
        </is>
      </c>
      <c r="F243" s="19" t="inlineStr">
        <is>
          <t>ESPAÑA</t>
        </is>
      </c>
      <c r="G243" s="19" t="inlineStr">
        <is>
          <t>Para Previsión (Nac)</t>
        </is>
      </c>
      <c r="H243" s="22" t="n">
        <v>0</v>
      </c>
      <c r="I243" s="22" t="n">
        <v>0</v>
      </c>
      <c r="J243" s="22" t="n">
        <v>0</v>
      </c>
      <c r="K243" s="22" t="n">
        <v>0</v>
      </c>
      <c r="L243" s="22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36" t="inlineStr">
        <is>
          <t>CUBIERTO</t>
        </is>
      </c>
    </row>
    <row r="244" ht="19" customHeight="1">
      <c r="A244" s="25" t="inlineStr">
        <is>
          <t>CBROT0005</t>
        </is>
      </c>
      <c r="B244" s="29" t="inlineStr">
        <is>
          <t>CBROT0005</t>
        </is>
      </c>
      <c r="C244" s="27" t="inlineStr">
        <is>
          <t>CODIBROT, 5 L</t>
        </is>
      </c>
      <c r="D244" s="28" t="n">
        <v>5</v>
      </c>
      <c r="E244" s="27" t="inlineStr">
        <is>
          <t>Garrafas 5L</t>
        </is>
      </c>
      <c r="F244" s="29" t="inlineStr">
        <is>
          <t>ESPAÑA</t>
        </is>
      </c>
      <c r="G244" s="29" t="inlineStr">
        <is>
          <t>Para Previsión (Nac)</t>
        </is>
      </c>
      <c r="H244" s="31" t="n">
        <v>0</v>
      </c>
      <c r="I244" s="31" t="n">
        <v>0</v>
      </c>
      <c r="J244" s="31" t="n">
        <v>0</v>
      </c>
      <c r="K244" s="31" t="n">
        <v>0</v>
      </c>
      <c r="L244" s="31" t="n">
        <v>0</v>
      </c>
      <c r="M244" s="32" t="n">
        <v>0</v>
      </c>
      <c r="N244" s="32" t="n">
        <v>0</v>
      </c>
      <c r="O244" s="32" t="n">
        <v>0</v>
      </c>
      <c r="P244" s="32" t="n">
        <v>0</v>
      </c>
      <c r="Q244" s="36" t="inlineStr">
        <is>
          <t>CUBIERTO</t>
        </is>
      </c>
    </row>
    <row r="245" ht="19" customHeight="1">
      <c r="A245" s="18" t="inlineStr">
        <is>
          <t>C-L0005</t>
        </is>
      </c>
      <c r="B245" s="19" t="inlineStr">
        <is>
          <t>C-L0005</t>
        </is>
      </c>
      <c r="C245" s="20" t="inlineStr">
        <is>
          <t>CODIBOR-L, 5 L</t>
        </is>
      </c>
      <c r="D245" s="21" t="n">
        <v>5</v>
      </c>
      <c r="E245" s="20" t="inlineStr">
        <is>
          <t>Garrafas 5L</t>
        </is>
      </c>
      <c r="F245" s="19" t="inlineStr">
        <is>
          <t>ESPAÑA</t>
        </is>
      </c>
      <c r="G245" s="19" t="inlineStr">
        <is>
          <t>Para Previsión (Nac)</t>
        </is>
      </c>
      <c r="H245" s="22" t="n">
        <v>700</v>
      </c>
      <c r="I245" s="22" t="n">
        <v>300</v>
      </c>
      <c r="J245" s="22" t="n">
        <v>200</v>
      </c>
      <c r="K245" s="22" t="n">
        <v>200</v>
      </c>
      <c r="L245" s="22" t="n">
        <v>0</v>
      </c>
      <c r="M245" s="23" t="n">
        <v>700</v>
      </c>
      <c r="N245" s="23" t="n">
        <v>3500</v>
      </c>
      <c r="O245" s="23" t="n">
        <v>0</v>
      </c>
      <c r="P245" s="23" t="n">
        <v>0</v>
      </c>
      <c r="Q245" s="36" t="inlineStr">
        <is>
          <t>CUBIERTO</t>
        </is>
      </c>
    </row>
    <row r="246" ht="19" customHeight="1">
      <c r="A246" s="25" t="inlineStr">
        <is>
          <t>CBASI0005</t>
        </is>
      </c>
      <c r="B246" s="29" t="inlineStr">
        <is>
          <t>CBASI0005</t>
        </is>
      </c>
      <c r="C246" s="27" t="inlineStr">
        <is>
          <t>BIOCULTURE BASI, 5 KG</t>
        </is>
      </c>
      <c r="D246" s="28" t="n">
        <v>5</v>
      </c>
      <c r="E246" s="27" t="inlineStr">
        <is>
          <t>Garrafas 5L</t>
        </is>
      </c>
      <c r="F246" s="29" t="inlineStr">
        <is>
          <t>ESPAÑA</t>
        </is>
      </c>
      <c r="G246" s="29" t="inlineStr">
        <is>
          <t>Para Previsión (Nac)</t>
        </is>
      </c>
      <c r="H246" s="31" t="n">
        <v>500</v>
      </c>
      <c r="I246" s="31" t="n">
        <v>0</v>
      </c>
      <c r="J246" s="31" t="n">
        <v>500</v>
      </c>
      <c r="K246" s="31" t="n">
        <v>0</v>
      </c>
      <c r="L246" s="31" t="n">
        <v>0</v>
      </c>
      <c r="M246" s="32" t="n">
        <v>500</v>
      </c>
      <c r="N246" s="32" t="n">
        <v>2500</v>
      </c>
      <c r="O246" s="32" t="n">
        <v>0</v>
      </c>
      <c r="P246" s="32" t="n">
        <v>0</v>
      </c>
      <c r="Q246" s="36" t="inlineStr">
        <is>
          <t>CUBIERTO</t>
        </is>
      </c>
    </row>
    <row r="247" ht="19" customHeight="1">
      <c r="A247" s="18" t="inlineStr">
        <is>
          <t>AGFE0001</t>
        </is>
      </c>
      <c r="B247" s="19" t="inlineStr">
        <is>
          <t>AGFE0001</t>
        </is>
      </c>
      <c r="C247" s="20" t="inlineStr">
        <is>
          <t>AGROXILATO-FE, 1 KG</t>
        </is>
      </c>
      <c r="D247" s="21" t="n">
        <v>1</v>
      </c>
      <c r="E247" s="20" t="inlineStr">
        <is>
          <t>Botellas 1L</t>
        </is>
      </c>
      <c r="F247" s="19" t="inlineStr">
        <is>
          <t>ESPAÑA</t>
        </is>
      </c>
      <c r="G247" s="19" t="inlineStr">
        <is>
          <t>Para Previsión (Nac)</t>
        </is>
      </c>
      <c r="H247" s="22" t="n">
        <v>0</v>
      </c>
      <c r="I247" s="22" t="n">
        <v>0</v>
      </c>
      <c r="J247" s="22" t="n">
        <v>0</v>
      </c>
      <c r="K247" s="22" t="n">
        <v>0</v>
      </c>
      <c r="L247" s="22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36" t="inlineStr">
        <is>
          <t>CUBIERTO</t>
        </is>
      </c>
    </row>
    <row r="248" ht="19" customHeight="1">
      <c r="A248" s="25" t="inlineStr">
        <is>
          <t>SS0005</t>
        </is>
      </c>
      <c r="B248" s="29" t="inlineStr">
        <is>
          <t>SS0005</t>
        </is>
      </c>
      <c r="C248" s="27" t="inlineStr">
        <is>
          <t>SALWAX-CA, 5 KG</t>
        </is>
      </c>
      <c r="D248" s="28" t="n">
        <v>5</v>
      </c>
      <c r="E248" s="27" t="inlineStr">
        <is>
          <t>Garrafas 5L</t>
        </is>
      </c>
      <c r="F248" s="29" t="inlineStr">
        <is>
          <t>ESPAÑA</t>
        </is>
      </c>
      <c r="G248" s="29" t="inlineStr">
        <is>
          <t>Para Previsión (Nac)</t>
        </is>
      </c>
      <c r="H248" s="31" t="n">
        <v>750</v>
      </c>
      <c r="I248" s="31" t="n">
        <v>0</v>
      </c>
      <c r="J248" s="31" t="n">
        <v>0</v>
      </c>
      <c r="K248" s="31" t="n">
        <v>750</v>
      </c>
      <c r="L248" s="31" t="n">
        <v>0</v>
      </c>
      <c r="M248" s="32" t="n">
        <v>750</v>
      </c>
      <c r="N248" s="32" t="n">
        <v>3750</v>
      </c>
      <c r="O248" s="32" t="n">
        <v>0</v>
      </c>
      <c r="P248" s="32" t="n">
        <v>0</v>
      </c>
      <c r="Q248" s="36" t="inlineStr">
        <is>
          <t>CUBIERTO</t>
        </is>
      </c>
    </row>
    <row r="249" ht="19" customHeight="1">
      <c r="A249" s="18" t="inlineStr">
        <is>
          <t>B0020</t>
        </is>
      </c>
      <c r="B249" s="19" t="inlineStr">
        <is>
          <t>B0020</t>
        </is>
      </c>
      <c r="C249" s="20" t="inlineStr">
        <is>
          <t>BOROCAL, 20 L</t>
        </is>
      </c>
      <c r="D249" s="21" t="n">
        <v>20</v>
      </c>
      <c r="E249" s="20" t="inlineStr">
        <is>
          <t>Garrafas 20L</t>
        </is>
      </c>
      <c r="F249" s="19" t="inlineStr">
        <is>
          <t>ESPAÑA</t>
        </is>
      </c>
      <c r="G249" s="19" t="inlineStr">
        <is>
          <t>Para Previsión (Nac)</t>
        </is>
      </c>
      <c r="H249" s="22" t="n">
        <v>3840</v>
      </c>
      <c r="I249" s="22" t="n">
        <v>0</v>
      </c>
      <c r="J249" s="22" t="n">
        <v>1920</v>
      </c>
      <c r="K249" s="22" t="n">
        <v>1920</v>
      </c>
      <c r="L249" s="22" t="n">
        <v>0</v>
      </c>
      <c r="M249" s="23" t="n">
        <v>3840</v>
      </c>
      <c r="N249" s="23" t="n">
        <v>76800</v>
      </c>
      <c r="O249" s="23" t="n">
        <v>0</v>
      </c>
      <c r="P249" s="23" t="n">
        <v>0</v>
      </c>
      <c r="Q249" s="36" t="inlineStr">
        <is>
          <t>CUBIERTO</t>
        </is>
      </c>
    </row>
    <row r="250" ht="19" customHeight="1">
      <c r="A250" s="25" t="inlineStr">
        <is>
          <t>G30005</t>
        </is>
      </c>
      <c r="B250" s="26" t="inlineStr">
        <is>
          <t>G30005CO</t>
        </is>
      </c>
      <c r="C250" s="27" t="inlineStr">
        <is>
          <t>GREEN-UP, 5 L</t>
        </is>
      </c>
      <c r="D250" s="28" t="n">
        <v>5</v>
      </c>
      <c r="E250" s="27" t="inlineStr">
        <is>
          <t>Garrafas 5L</t>
        </is>
      </c>
      <c r="F250" s="29" t="inlineStr">
        <is>
          <t>COLOMBIA</t>
        </is>
      </c>
      <c r="G250" s="30" t="inlineStr">
        <is>
          <t>Sobre Pedido (Export)</t>
        </is>
      </c>
      <c r="H250" s="31" t="n">
        <v>240</v>
      </c>
      <c r="I250" s="31" t="n">
        <v>0</v>
      </c>
      <c r="J250" s="31" t="n">
        <v>0</v>
      </c>
      <c r="K250" s="31" t="n">
        <v>0</v>
      </c>
      <c r="L250" s="31" t="n">
        <v>240</v>
      </c>
      <c r="M250" s="32" t="n">
        <v>240</v>
      </c>
      <c r="N250" s="32" t="n">
        <v>1200</v>
      </c>
      <c r="O250" s="32" t="n">
        <v>0</v>
      </c>
      <c r="P250" s="32" t="n">
        <v>0</v>
      </c>
      <c r="Q250" s="36" t="inlineStr">
        <is>
          <t>CUBIERTO</t>
        </is>
      </c>
    </row>
    <row r="251" ht="19" customHeight="1">
      <c r="A251" s="18" t="inlineStr">
        <is>
          <t>N0020</t>
        </is>
      </c>
      <c r="B251" s="19" t="inlineStr">
        <is>
          <t>N0020</t>
        </is>
      </c>
      <c r="C251" s="20" t="inlineStr">
        <is>
          <t>NUTRICALE, 20 L</t>
        </is>
      </c>
      <c r="D251" s="21" t="n">
        <v>20</v>
      </c>
      <c r="E251" s="20" t="inlineStr">
        <is>
          <t>Garrafas 20L</t>
        </is>
      </c>
      <c r="F251" s="19" t="inlineStr">
        <is>
          <t>ESPAÑA</t>
        </is>
      </c>
      <c r="G251" s="19" t="inlineStr">
        <is>
          <t>Para Previsión (Nac)</t>
        </is>
      </c>
      <c r="H251" s="22" t="n">
        <v>2560</v>
      </c>
      <c r="I251" s="22" t="n">
        <v>0</v>
      </c>
      <c r="J251" s="22" t="n">
        <v>1280</v>
      </c>
      <c r="K251" s="22" t="n">
        <v>1280</v>
      </c>
      <c r="L251" s="22" t="n">
        <v>0</v>
      </c>
      <c r="M251" s="23" t="n">
        <v>2560</v>
      </c>
      <c r="N251" s="23" t="n">
        <v>51200</v>
      </c>
      <c r="O251" s="23" t="n">
        <v>0</v>
      </c>
      <c r="P251" s="23" t="n">
        <v>0</v>
      </c>
      <c r="Q251" s="36" t="inlineStr">
        <is>
          <t>CUBIERTO</t>
        </is>
      </c>
    </row>
    <row r="252" ht="19" customHeight="1">
      <c r="A252" s="25" t="inlineStr">
        <is>
          <t>S0200</t>
        </is>
      </c>
      <c r="B252" s="29" t="inlineStr">
        <is>
          <t>S0200</t>
        </is>
      </c>
      <c r="C252" s="27" t="inlineStr">
        <is>
          <t>SAL-WAX STAR, 200 L</t>
        </is>
      </c>
      <c r="D252" s="28" t="n">
        <v>200</v>
      </c>
      <c r="E252" s="27" t="inlineStr">
        <is>
          <t>Depósito 200 L</t>
        </is>
      </c>
      <c r="F252" s="29" t="inlineStr">
        <is>
          <t>ESPAÑA</t>
        </is>
      </c>
      <c r="G252" s="29" t="inlineStr">
        <is>
          <t>Para Previsión (Nac)</t>
        </is>
      </c>
      <c r="H252" s="31" t="n">
        <v>5600</v>
      </c>
      <c r="I252" s="31" t="n">
        <v>0</v>
      </c>
      <c r="J252" s="31" t="n">
        <v>2800</v>
      </c>
      <c r="K252" s="31" t="n">
        <v>2800</v>
      </c>
      <c r="L252" s="31" t="n">
        <v>0</v>
      </c>
      <c r="M252" s="32" t="n">
        <v>5600</v>
      </c>
      <c r="N252" s="32" t="n">
        <v>1120000</v>
      </c>
      <c r="O252" s="32" t="n">
        <v>0</v>
      </c>
      <c r="P252" s="32" t="n">
        <v>0</v>
      </c>
      <c r="Q252" s="36" t="inlineStr">
        <is>
          <t>CUBIERTO</t>
        </is>
      </c>
    </row>
    <row r="253" ht="19" customHeight="1">
      <c r="A253" s="18" t="inlineStr">
        <is>
          <t>CSIL0001</t>
        </is>
      </c>
      <c r="B253" s="19" t="inlineStr">
        <is>
          <t>CSIL0001</t>
        </is>
      </c>
      <c r="C253" s="20" t="inlineStr">
        <is>
          <t>FITOKONTROL-K, 1 L</t>
        </is>
      </c>
      <c r="D253" s="21" t="n">
        <v>1</v>
      </c>
      <c r="E253" s="20" t="inlineStr">
        <is>
          <t>Botellas 1L</t>
        </is>
      </c>
      <c r="F253" s="19" t="inlineStr">
        <is>
          <t>ESPAÑA</t>
        </is>
      </c>
      <c r="G253" s="19" t="inlineStr">
        <is>
          <t>Para Previsión (Nac)</t>
        </is>
      </c>
      <c r="H253" s="22" t="n">
        <v>0</v>
      </c>
      <c r="I253" s="22" t="n">
        <v>0</v>
      </c>
      <c r="J253" s="22" t="n">
        <v>0</v>
      </c>
      <c r="K253" s="22" t="n">
        <v>0</v>
      </c>
      <c r="L253" s="22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36" t="inlineStr">
        <is>
          <t>CUBIERTO</t>
        </is>
      </c>
    </row>
    <row r="254" ht="19" customHeight="1">
      <c r="A254" s="25" t="inlineStr">
        <is>
          <t>CSIL0005</t>
        </is>
      </c>
      <c r="B254" s="29" t="inlineStr">
        <is>
          <t>CSIL0005</t>
        </is>
      </c>
      <c r="C254" s="27" t="inlineStr">
        <is>
          <t>FITOKONTROL-K, 5 L</t>
        </is>
      </c>
      <c r="D254" s="28" t="n">
        <v>5</v>
      </c>
      <c r="E254" s="27" t="inlineStr">
        <is>
          <t>Garrafas 5L</t>
        </is>
      </c>
      <c r="F254" s="29" t="inlineStr">
        <is>
          <t>ESPAÑA</t>
        </is>
      </c>
      <c r="G254" s="29" t="inlineStr">
        <is>
          <t>Para Previsión (Nac)</t>
        </is>
      </c>
      <c r="H254" s="31" t="n">
        <v>0</v>
      </c>
      <c r="I254" s="31" t="n">
        <v>0</v>
      </c>
      <c r="J254" s="31" t="n">
        <v>0</v>
      </c>
      <c r="K254" s="31" t="n">
        <v>0</v>
      </c>
      <c r="L254" s="31" t="n">
        <v>0</v>
      </c>
      <c r="M254" s="32" t="n">
        <v>0</v>
      </c>
      <c r="N254" s="32" t="n">
        <v>0</v>
      </c>
      <c r="O254" s="32" t="n">
        <v>0</v>
      </c>
      <c r="P254" s="32" t="n">
        <v>0</v>
      </c>
      <c r="Q254" s="36" t="inlineStr">
        <is>
          <t>CUBIERTO</t>
        </is>
      </c>
    </row>
    <row r="255" ht="19" customHeight="1">
      <c r="A255" s="18" t="inlineStr">
        <is>
          <t>JF0005</t>
        </is>
      </c>
      <c r="B255" s="19" t="inlineStr">
        <is>
          <t>JF0005</t>
        </is>
      </c>
      <c r="C255" s="20" t="inlineStr">
        <is>
          <t>CODIGIN-FOS, 5 L</t>
        </is>
      </c>
      <c r="D255" s="21" t="n">
        <v>5</v>
      </c>
      <c r="E255" s="20" t="inlineStr">
        <is>
          <t>Garrafas 5L</t>
        </is>
      </c>
      <c r="F255" s="19" t="inlineStr">
        <is>
          <t>ESPAÑA</t>
        </is>
      </c>
      <c r="G255" s="19" t="inlineStr">
        <is>
          <t>Para Previsión (Nac)</t>
        </is>
      </c>
      <c r="H255" s="22" t="n">
        <v>100</v>
      </c>
      <c r="I255" s="22" t="n">
        <v>0</v>
      </c>
      <c r="J255" s="22" t="n">
        <v>100</v>
      </c>
      <c r="K255" s="22" t="n">
        <v>0</v>
      </c>
      <c r="L255" s="22" t="n">
        <v>0</v>
      </c>
      <c r="M255" s="23" t="n">
        <v>100</v>
      </c>
      <c r="N255" s="23" t="n">
        <v>500</v>
      </c>
      <c r="O255" s="23" t="n">
        <v>0</v>
      </c>
      <c r="P255" s="23" t="n">
        <v>0</v>
      </c>
      <c r="Q255" s="36" t="inlineStr">
        <is>
          <t>CUBIERTO</t>
        </is>
      </c>
    </row>
    <row r="256" ht="19" customHeight="1">
      <c r="A256" s="25" t="inlineStr">
        <is>
          <t>PT0001</t>
        </is>
      </c>
      <c r="B256" s="26" t="inlineStr">
        <is>
          <t>PT0001RO</t>
        </is>
      </c>
      <c r="C256" s="27" t="inlineStr">
        <is>
          <t>AGROPOTASION, 1 L</t>
        </is>
      </c>
      <c r="D256" s="28" t="n">
        <v>1</v>
      </c>
      <c r="E256" s="27" t="inlineStr">
        <is>
          <t>Botellas 1L</t>
        </is>
      </c>
      <c r="F256" s="29" t="inlineStr">
        <is>
          <t>RUMANÍA</t>
        </is>
      </c>
      <c r="G256" s="30" t="inlineStr">
        <is>
          <t>Sobre Pedido (Export)</t>
        </is>
      </c>
      <c r="H256" s="31" t="n">
        <v>600</v>
      </c>
      <c r="I256" s="31" t="n">
        <v>0</v>
      </c>
      <c r="J256" s="31" t="n">
        <v>0</v>
      </c>
      <c r="K256" s="31" t="n">
        <v>600</v>
      </c>
      <c r="L256" s="31" t="n">
        <v>0</v>
      </c>
      <c r="M256" s="32" t="n">
        <v>600</v>
      </c>
      <c r="N256" s="32" t="n">
        <v>600</v>
      </c>
      <c r="O256" s="32" t="n">
        <v>0</v>
      </c>
      <c r="P256" s="32" t="n">
        <v>0</v>
      </c>
      <c r="Q256" s="36" t="inlineStr">
        <is>
          <t>CUBIERTO</t>
        </is>
      </c>
    </row>
    <row r="257" ht="19" customHeight="1">
      <c r="A257" s="18" t="inlineStr">
        <is>
          <t>SS0020</t>
        </is>
      </c>
      <c r="B257" s="19" t="inlineStr">
        <is>
          <t>SS0020</t>
        </is>
      </c>
      <c r="C257" s="20" t="inlineStr">
        <is>
          <t>SAL-WAX-Ca sólido, 20 KG</t>
        </is>
      </c>
      <c r="D257" s="21" t="n">
        <v>20</v>
      </c>
      <c r="E257" s="20" t="inlineStr">
        <is>
          <t>Garrafas 20L</t>
        </is>
      </c>
      <c r="F257" s="19" t="inlineStr">
        <is>
          <t>ESPAÑA</t>
        </is>
      </c>
      <c r="G257" s="19" t="inlineStr">
        <is>
          <t>Para Previsión (Nac)</t>
        </is>
      </c>
      <c r="H257" s="22" t="n">
        <v>8000</v>
      </c>
      <c r="I257" s="22" t="n">
        <v>0</v>
      </c>
      <c r="J257" s="22" t="n">
        <v>4000</v>
      </c>
      <c r="K257" s="22" t="n">
        <v>4000</v>
      </c>
      <c r="L257" s="22" t="n">
        <v>0</v>
      </c>
      <c r="M257" s="23" t="n">
        <v>8000</v>
      </c>
      <c r="N257" s="23" t="n">
        <v>160000</v>
      </c>
      <c r="O257" s="23" t="n">
        <v>0</v>
      </c>
      <c r="P257" s="23" t="n">
        <v>0</v>
      </c>
      <c r="Q257" s="36" t="inlineStr">
        <is>
          <t>CUBIERTO</t>
        </is>
      </c>
    </row>
    <row r="258" ht="19" customHeight="1">
      <c r="A258" s="25" t="inlineStr">
        <is>
          <t>FLOR0020</t>
        </is>
      </c>
      <c r="B258" s="29" t="inlineStr">
        <is>
          <t>FLOR0020</t>
        </is>
      </c>
      <c r="C258" s="27" t="inlineStr">
        <is>
          <t>FLORAMEC, 20 L</t>
        </is>
      </c>
      <c r="D258" s="28" t="n">
        <v>20</v>
      </c>
      <c r="E258" s="27" t="inlineStr">
        <is>
          <t>Garrafas 20L</t>
        </is>
      </c>
      <c r="F258" s="29" t="inlineStr">
        <is>
          <t>ESPAÑA</t>
        </is>
      </c>
      <c r="G258" s="29" t="inlineStr">
        <is>
          <t>Para Previsión (Nac)</t>
        </is>
      </c>
      <c r="H258" s="31" t="n">
        <v>0</v>
      </c>
      <c r="I258" s="31" t="n">
        <v>0</v>
      </c>
      <c r="J258" s="31" t="n">
        <v>0</v>
      </c>
      <c r="K258" s="31" t="n">
        <v>0</v>
      </c>
      <c r="L258" s="31" t="n">
        <v>0</v>
      </c>
      <c r="M258" s="32" t="n">
        <v>0</v>
      </c>
      <c r="N258" s="32" t="n">
        <v>0</v>
      </c>
      <c r="O258" s="32" t="n">
        <v>0</v>
      </c>
      <c r="P258" s="32" t="n">
        <v>0</v>
      </c>
      <c r="Q258" s="36" t="inlineStr">
        <is>
          <t>CUBIERTO</t>
        </is>
      </c>
    </row>
    <row r="259" ht="19" customHeight="1">
      <c r="A259" s="18" t="inlineStr">
        <is>
          <t>AQUOMAR0005</t>
        </is>
      </c>
      <c r="B259" s="33" t="inlineStr">
        <is>
          <t>AQUOMAR0005SA</t>
        </is>
      </c>
      <c r="C259" s="20" t="inlineStr">
        <is>
          <t>AQUOM ARABIA, 5 L</t>
        </is>
      </c>
      <c r="D259" s="21" t="n">
        <v>5</v>
      </c>
      <c r="E259" s="20" t="inlineStr">
        <is>
          <t>Garrafas 5L</t>
        </is>
      </c>
      <c r="F259" s="19" t="inlineStr">
        <is>
          <t>ARABIA SAUDÍ</t>
        </is>
      </c>
      <c r="G259" s="34" t="inlineStr">
        <is>
          <t>Sobre Pedido (Export)</t>
        </is>
      </c>
      <c r="H259" s="22" t="n">
        <v>0</v>
      </c>
      <c r="I259" s="22" t="n">
        <v>0</v>
      </c>
      <c r="J259" s="22" t="n">
        <v>0</v>
      </c>
      <c r="K259" s="22" t="n">
        <v>0</v>
      </c>
      <c r="L259" s="22" t="n">
        <v>0</v>
      </c>
      <c r="M259" s="23" t="n">
        <v>0</v>
      </c>
      <c r="N259" s="23" t="n">
        <v>0</v>
      </c>
      <c r="O259" s="23" t="n">
        <v>0</v>
      </c>
      <c r="P259" s="23" t="n">
        <v>0</v>
      </c>
      <c r="Q259" s="36" t="inlineStr">
        <is>
          <t>CUBIERTO</t>
        </is>
      </c>
    </row>
    <row r="260" ht="19" customHeight="1">
      <c r="A260" s="25" t="inlineStr">
        <is>
          <t>AGZNP0005</t>
        </is>
      </c>
      <c r="B260" s="29" t="inlineStr">
        <is>
          <t>AGZNP0005</t>
        </is>
      </c>
      <c r="C260" s="27" t="inlineStr">
        <is>
          <t>AGROXILATO ZN PLUS, 5 KG</t>
        </is>
      </c>
      <c r="D260" s="28" t="n">
        <v>5</v>
      </c>
      <c r="E260" s="27" t="inlineStr">
        <is>
          <t>Garrafas 5L</t>
        </is>
      </c>
      <c r="F260" s="29" t="inlineStr">
        <is>
          <t>ESPAÑA</t>
        </is>
      </c>
      <c r="G260" s="29" t="inlineStr">
        <is>
          <t>Para Previsión (Nac)</t>
        </is>
      </c>
      <c r="H260" s="31" t="n">
        <v>950</v>
      </c>
      <c r="I260" s="31" t="n">
        <v>0</v>
      </c>
      <c r="J260" s="31" t="n">
        <v>0</v>
      </c>
      <c r="K260" s="31" t="n">
        <v>0</v>
      </c>
      <c r="L260" s="31" t="n">
        <v>950</v>
      </c>
      <c r="M260" s="32" t="n">
        <v>950</v>
      </c>
      <c r="N260" s="32" t="n">
        <v>4750</v>
      </c>
      <c r="O260" s="32" t="n">
        <v>0</v>
      </c>
      <c r="P260" s="32" t="n">
        <v>0</v>
      </c>
      <c r="Q260" s="36" t="inlineStr">
        <is>
          <t>CUBIERTO</t>
        </is>
      </c>
    </row>
    <row r="261" ht="19" customHeight="1">
      <c r="A261" s="18" t="inlineStr">
        <is>
          <t>AGZ-M0005</t>
        </is>
      </c>
      <c r="B261" s="19" t="inlineStr">
        <is>
          <t>AGZ-M0005</t>
        </is>
      </c>
      <c r="C261" s="20" t="inlineStr">
        <is>
          <t>AGROXILATO-ZN-MN, 5 KG</t>
        </is>
      </c>
      <c r="D261" s="21" t="n">
        <v>5</v>
      </c>
      <c r="E261" s="20" t="inlineStr">
        <is>
          <t>Garrafas 5L</t>
        </is>
      </c>
      <c r="F261" s="19" t="inlineStr">
        <is>
          <t>ESPAÑA</t>
        </is>
      </c>
      <c r="G261" s="19" t="inlineStr">
        <is>
          <t>Para Previsión (Nac)</t>
        </is>
      </c>
      <c r="H261" s="22" t="n">
        <v>200</v>
      </c>
      <c r="I261" s="22" t="n">
        <v>0</v>
      </c>
      <c r="J261" s="22" t="n">
        <v>0</v>
      </c>
      <c r="K261" s="22" t="n">
        <v>0</v>
      </c>
      <c r="L261" s="22" t="n">
        <v>200</v>
      </c>
      <c r="M261" s="23" t="n">
        <v>200</v>
      </c>
      <c r="N261" s="23" t="n">
        <v>1000</v>
      </c>
      <c r="O261" s="23" t="n">
        <v>0</v>
      </c>
      <c r="P261" s="23" t="n">
        <v>0</v>
      </c>
      <c r="Q261" s="36" t="inlineStr">
        <is>
          <t>CUBIERTO</t>
        </is>
      </c>
    </row>
    <row r="262" ht="19" customHeight="1">
      <c r="A262" s="25" t="inlineStr">
        <is>
          <t>ANAE0020</t>
        </is>
      </c>
      <c r="B262" s="29" t="inlineStr">
        <is>
          <t>ANAE0020</t>
        </is>
      </c>
      <c r="C262" s="27" t="inlineStr">
        <is>
          <t>ALCAPLANT NEW AE, 20 KG</t>
        </is>
      </c>
      <c r="D262" s="28" t="n">
        <v>20</v>
      </c>
      <c r="E262" s="27" t="inlineStr">
        <is>
          <t>Garrafas 20L</t>
        </is>
      </c>
      <c r="F262" s="29" t="inlineStr">
        <is>
          <t>ESPAÑA</t>
        </is>
      </c>
      <c r="G262" s="29" t="inlineStr">
        <is>
          <t>Para Previsión (Nac)</t>
        </is>
      </c>
      <c r="H262" s="31" t="n">
        <v>7700</v>
      </c>
      <c r="I262" s="31" t="n">
        <v>0</v>
      </c>
      <c r="J262" s="31" t="n">
        <v>4400</v>
      </c>
      <c r="K262" s="31" t="n">
        <v>3300</v>
      </c>
      <c r="L262" s="31" t="n">
        <v>0</v>
      </c>
      <c r="M262" s="32" t="n">
        <v>7700</v>
      </c>
      <c r="N262" s="32" t="n">
        <v>154000</v>
      </c>
      <c r="O262" s="32" t="n">
        <v>0</v>
      </c>
      <c r="P262" s="32" t="n">
        <v>0</v>
      </c>
      <c r="Q262" s="36" t="inlineStr">
        <is>
          <t>CUBIERTO</t>
        </is>
      </c>
    </row>
    <row r="263" ht="19" customHeight="1">
      <c r="A263" s="18" t="inlineStr">
        <is>
          <t>C-MB0020</t>
        </is>
      </c>
      <c r="B263" s="19" t="inlineStr">
        <is>
          <t>C-MB0020</t>
        </is>
      </c>
      <c r="C263" s="20" t="inlineStr">
        <is>
          <t>CODIFOL-MB, 20 L</t>
        </is>
      </c>
      <c r="D263" s="21" t="n">
        <v>20</v>
      </c>
      <c r="E263" s="20" t="inlineStr">
        <is>
          <t>Garrafas 20L</t>
        </is>
      </c>
      <c r="F263" s="19" t="inlineStr">
        <is>
          <t>ESPAÑA</t>
        </is>
      </c>
      <c r="G263" s="19" t="inlineStr">
        <is>
          <t>Para Previsión (Nac)</t>
        </is>
      </c>
      <c r="H263" s="22" t="n">
        <v>0</v>
      </c>
      <c r="I263" s="22" t="n">
        <v>0</v>
      </c>
      <c r="J263" s="22" t="n">
        <v>0</v>
      </c>
      <c r="K263" s="22" t="n">
        <v>0</v>
      </c>
      <c r="L263" s="22" t="n">
        <v>0</v>
      </c>
      <c r="M263" s="23" t="n">
        <v>0</v>
      </c>
      <c r="N263" s="23" t="n">
        <v>0</v>
      </c>
      <c r="O263" s="23" t="n">
        <v>0</v>
      </c>
      <c r="P263" s="23" t="n">
        <v>0</v>
      </c>
      <c r="Q263" s="36" t="inlineStr">
        <is>
          <t>CUBIERTO</t>
        </is>
      </c>
    </row>
    <row r="264" ht="19" customHeight="1">
      <c r="A264" s="25" t="inlineStr">
        <is>
          <t>P-5X0005</t>
        </is>
      </c>
      <c r="B264" s="29" t="inlineStr">
        <is>
          <t>P-5X0005</t>
        </is>
      </c>
      <c r="C264" s="27" t="inlineStr">
        <is>
          <t>P.M.S. 5x, 5 L</t>
        </is>
      </c>
      <c r="D264" s="28" t="n">
        <v>5</v>
      </c>
      <c r="E264" s="27" t="inlineStr">
        <is>
          <t>Garrafas 5L</t>
        </is>
      </c>
      <c r="F264" s="29" t="inlineStr">
        <is>
          <t>ESPAÑA</t>
        </is>
      </c>
      <c r="G264" s="29" t="inlineStr">
        <is>
          <t>Para Previsión (Nac)</t>
        </is>
      </c>
      <c r="H264" s="31" t="n">
        <v>100</v>
      </c>
      <c r="I264" s="31" t="n">
        <v>0</v>
      </c>
      <c r="J264" s="31" t="n">
        <v>0</v>
      </c>
      <c r="K264" s="31" t="n">
        <v>0</v>
      </c>
      <c r="L264" s="31" t="n">
        <v>100</v>
      </c>
      <c r="M264" s="32" t="n">
        <v>100</v>
      </c>
      <c r="N264" s="32" t="n">
        <v>500</v>
      </c>
      <c r="O264" s="32" t="n">
        <v>0</v>
      </c>
      <c r="P264" s="32" t="n">
        <v>0</v>
      </c>
      <c r="Q264" s="36" t="inlineStr">
        <is>
          <t>CUBIERTO</t>
        </is>
      </c>
    </row>
    <row r="265" ht="19" customHeight="1">
      <c r="A265" s="18" t="inlineStr">
        <is>
          <t>P-5X0020</t>
        </is>
      </c>
      <c r="B265" s="19" t="inlineStr">
        <is>
          <t>P-5X0020</t>
        </is>
      </c>
      <c r="C265" s="20" t="inlineStr">
        <is>
          <t>P.M.S. 5x, 20 L</t>
        </is>
      </c>
      <c r="D265" s="21" t="n">
        <v>20</v>
      </c>
      <c r="E265" s="20" t="inlineStr">
        <is>
          <t>Garrafas 20L</t>
        </is>
      </c>
      <c r="F265" s="19" t="inlineStr">
        <is>
          <t>ESPAÑA</t>
        </is>
      </c>
      <c r="G265" s="19" t="inlineStr">
        <is>
          <t>Para Previsión (Nac)</t>
        </is>
      </c>
      <c r="H265" s="22" t="n">
        <v>0</v>
      </c>
      <c r="I265" s="22" t="n">
        <v>0</v>
      </c>
      <c r="J265" s="22" t="n">
        <v>0</v>
      </c>
      <c r="K265" s="22" t="n">
        <v>0</v>
      </c>
      <c r="L265" s="22" t="n">
        <v>0</v>
      </c>
      <c r="M265" s="23" t="n">
        <v>0</v>
      </c>
      <c r="N265" s="23" t="n">
        <v>0</v>
      </c>
      <c r="O265" s="23" t="n">
        <v>0</v>
      </c>
      <c r="P265" s="23" t="n">
        <v>0</v>
      </c>
      <c r="Q265" s="36" t="inlineStr">
        <is>
          <t>CUBIERTO</t>
        </is>
      </c>
    </row>
    <row r="266" ht="19" customHeight="1">
      <c r="A266" s="25" t="inlineStr">
        <is>
          <t>AGXKAE0020</t>
        </is>
      </c>
      <c r="B266" s="29" t="inlineStr">
        <is>
          <t>AGXKAE0020</t>
        </is>
      </c>
      <c r="C266" s="27" t="inlineStr">
        <is>
          <t>BIOCULTURE POTASIO, 20 L</t>
        </is>
      </c>
      <c r="D266" s="28" t="n">
        <v>20</v>
      </c>
      <c r="E266" s="27" t="inlineStr">
        <is>
          <t>Garrafas 20L</t>
        </is>
      </c>
      <c r="F266" s="29" t="inlineStr">
        <is>
          <t>ESPAÑA</t>
        </is>
      </c>
      <c r="G266" s="29" t="inlineStr">
        <is>
          <t>Para Previsión (Nac)</t>
        </is>
      </c>
      <c r="H266" s="31" t="n">
        <v>640</v>
      </c>
      <c r="I266" s="31" t="n">
        <v>0</v>
      </c>
      <c r="J266" s="31" t="n">
        <v>0</v>
      </c>
      <c r="K266" s="31" t="n">
        <v>0</v>
      </c>
      <c r="L266" s="31" t="n">
        <v>640</v>
      </c>
      <c r="M266" s="32" t="n">
        <v>640</v>
      </c>
      <c r="N266" s="32" t="n">
        <v>12800</v>
      </c>
      <c r="O266" s="32" t="n">
        <v>0</v>
      </c>
      <c r="P266" s="32" t="n">
        <v>0</v>
      </c>
      <c r="Q266" s="36" t="inlineStr">
        <is>
          <t>CUBIERTO</t>
        </is>
      </c>
    </row>
    <row r="267" ht="19" customHeight="1">
      <c r="A267" s="18" t="inlineStr">
        <is>
          <t>CALCIO0005</t>
        </is>
      </c>
      <c r="B267" s="19" t="inlineStr">
        <is>
          <t>CALCIO0005</t>
        </is>
      </c>
      <c r="C267" s="20" t="inlineStr">
        <is>
          <t>CALCIAMEC, 5 KG</t>
        </is>
      </c>
      <c r="D267" s="21" t="n">
        <v>5</v>
      </c>
      <c r="E267" s="20" t="inlineStr">
        <is>
          <t>Garrafas 5L</t>
        </is>
      </c>
      <c r="F267" s="19" t="inlineStr">
        <is>
          <t>ESPAÑA</t>
        </is>
      </c>
      <c r="G267" s="19" t="inlineStr">
        <is>
          <t>Para Previsión (Nac)</t>
        </is>
      </c>
      <c r="H267" s="22" t="n">
        <v>2425</v>
      </c>
      <c r="I267" s="22" t="n">
        <v>0</v>
      </c>
      <c r="J267" s="22" t="n">
        <v>825</v>
      </c>
      <c r="K267" s="22" t="n">
        <v>850</v>
      </c>
      <c r="L267" s="22" t="n">
        <v>750</v>
      </c>
      <c r="M267" s="23" t="n">
        <v>2425</v>
      </c>
      <c r="N267" s="23" t="n">
        <v>12125</v>
      </c>
      <c r="O267" s="23" t="n">
        <v>0</v>
      </c>
      <c r="P267" s="23" t="n">
        <v>0</v>
      </c>
      <c r="Q267" s="36" t="inlineStr">
        <is>
          <t>CUBIERTO</t>
        </is>
      </c>
    </row>
    <row r="268" ht="19" customHeight="1">
      <c r="A268" s="25" t="inlineStr">
        <is>
          <t>CALCIO0005</t>
        </is>
      </c>
      <c r="B268" s="26" t="inlineStr">
        <is>
          <t>CALCIO0005MA</t>
        </is>
      </c>
      <c r="C268" s="27" t="inlineStr">
        <is>
          <t>CALCIAMEC, 5 KG</t>
        </is>
      </c>
      <c r="D268" s="28" t="n">
        <v>5</v>
      </c>
      <c r="E268" s="27" t="inlineStr">
        <is>
          <t>Garrafas 5L</t>
        </is>
      </c>
      <c r="F268" s="29" t="inlineStr">
        <is>
          <t>MARRUECOS</t>
        </is>
      </c>
      <c r="G268" s="30" t="inlineStr">
        <is>
          <t>Sobre Pedido (Export)</t>
        </is>
      </c>
      <c r="H268" s="31" t="n">
        <v>1000</v>
      </c>
      <c r="I268" s="31" t="n">
        <v>0</v>
      </c>
      <c r="J268" s="31" t="n">
        <v>0</v>
      </c>
      <c r="K268" s="31" t="n">
        <v>0</v>
      </c>
      <c r="L268" s="31" t="n">
        <v>1000</v>
      </c>
      <c r="M268" s="32" t="n">
        <v>1000</v>
      </c>
      <c r="N268" s="32" t="n">
        <v>5000</v>
      </c>
      <c r="O268" s="32" t="n">
        <v>0</v>
      </c>
      <c r="P268" s="32" t="n">
        <v>0</v>
      </c>
      <c r="Q268" s="36" t="inlineStr">
        <is>
          <t>CUBIERTO</t>
        </is>
      </c>
    </row>
    <row r="269" ht="19" customHeight="1">
      <c r="A269" s="18" t="inlineStr">
        <is>
          <t>SSAE0005</t>
        </is>
      </c>
      <c r="B269" s="19" t="inlineStr">
        <is>
          <t>SSAE0005</t>
        </is>
      </c>
      <c r="C269" s="20" t="inlineStr">
        <is>
          <t>MAGNIFIC-VIETS-AE, 5 KG</t>
        </is>
      </c>
      <c r="D269" s="21" t="n">
        <v>5</v>
      </c>
      <c r="E269" s="20" t="inlineStr">
        <is>
          <t>Garrafas 5L</t>
        </is>
      </c>
      <c r="F269" s="19" t="inlineStr">
        <is>
          <t>ESPAÑA</t>
        </is>
      </c>
      <c r="G269" s="19" t="inlineStr">
        <is>
          <t>Para Previsión (Nac)</t>
        </is>
      </c>
      <c r="H269" s="22" t="n">
        <v>200</v>
      </c>
      <c r="I269" s="22" t="n">
        <v>0</v>
      </c>
      <c r="J269" s="22" t="n">
        <v>200</v>
      </c>
      <c r="K269" s="22" t="n">
        <v>0</v>
      </c>
      <c r="L269" s="22" t="n">
        <v>0</v>
      </c>
      <c r="M269" s="23" t="n">
        <v>200</v>
      </c>
      <c r="N269" s="23" t="n">
        <v>1000</v>
      </c>
      <c r="O269" s="23" t="n">
        <v>0</v>
      </c>
      <c r="P269" s="23" t="n">
        <v>0</v>
      </c>
      <c r="Q269" s="36" t="inlineStr">
        <is>
          <t>CUBIERTO</t>
        </is>
      </c>
    </row>
    <row r="270" ht="19" customHeight="1">
      <c r="A270" s="25" t="inlineStr">
        <is>
          <t>C-M-P0005</t>
        </is>
      </c>
      <c r="B270" s="26" t="inlineStr">
        <is>
          <t>C-M-P0005MA</t>
        </is>
      </c>
      <c r="C270" s="27" t="inlineStr">
        <is>
          <t>CODIFOL-MO-PLUS, 5 L</t>
        </is>
      </c>
      <c r="D270" s="28" t="n">
        <v>5</v>
      </c>
      <c r="E270" s="27" t="inlineStr">
        <is>
          <t>Garrafas 5L</t>
        </is>
      </c>
      <c r="F270" s="29" t="inlineStr">
        <is>
          <t>MARRUECOS</t>
        </is>
      </c>
      <c r="G270" s="30" t="inlineStr">
        <is>
          <t>Sobre Pedido (Export)</t>
        </is>
      </c>
      <c r="H270" s="31" t="n">
        <v>0</v>
      </c>
      <c r="I270" s="31" t="n">
        <v>0</v>
      </c>
      <c r="J270" s="31" t="n">
        <v>0</v>
      </c>
      <c r="K270" s="31" t="n">
        <v>0</v>
      </c>
      <c r="L270" s="31" t="n">
        <v>0</v>
      </c>
      <c r="M270" s="32" t="n">
        <v>0</v>
      </c>
      <c r="N270" s="32" t="n">
        <v>0</v>
      </c>
      <c r="O270" s="32" t="n">
        <v>0</v>
      </c>
      <c r="P270" s="32" t="n">
        <v>0</v>
      </c>
      <c r="Q270" s="36" t="inlineStr">
        <is>
          <t>CUBIERTO</t>
        </is>
      </c>
    </row>
    <row r="271" ht="19" customHeight="1">
      <c r="A271" s="18" t="inlineStr">
        <is>
          <t>NI0005</t>
        </is>
      </c>
      <c r="B271" s="33" t="inlineStr">
        <is>
          <t>NI0005MA</t>
        </is>
      </c>
      <c r="C271" s="20" t="inlineStr">
        <is>
          <t>NUTRICALE</t>
        </is>
      </c>
      <c r="D271" s="21" t="n">
        <v>5</v>
      </c>
      <c r="E271" s="20" t="inlineStr">
        <is>
          <t>Garrafas 5L</t>
        </is>
      </c>
      <c r="F271" s="19" t="inlineStr">
        <is>
          <t>MARRUECOS</t>
        </is>
      </c>
      <c r="G271" s="34" t="inlineStr">
        <is>
          <t>Sobre Pedido (Export)</t>
        </is>
      </c>
      <c r="H271" s="22" t="n">
        <v>0</v>
      </c>
      <c r="I271" s="22" t="n">
        <v>0</v>
      </c>
      <c r="J271" s="22" t="n">
        <v>0</v>
      </c>
      <c r="K271" s="22" t="n">
        <v>0</v>
      </c>
      <c r="L271" s="22" t="n">
        <v>0</v>
      </c>
      <c r="M271" s="23" t="n">
        <v>0</v>
      </c>
      <c r="N271" s="23" t="n">
        <v>0</v>
      </c>
      <c r="O271" s="23" t="n">
        <v>0</v>
      </c>
      <c r="P271" s="23" t="n">
        <v>0</v>
      </c>
      <c r="Q271" s="36" t="inlineStr">
        <is>
          <t>CUBIERTO</t>
        </is>
      </c>
    </row>
    <row r="272" ht="19" customHeight="1">
      <c r="A272" s="25" t="inlineStr">
        <is>
          <t>PHD0020</t>
        </is>
      </c>
      <c r="B272" s="26" t="inlineStr">
        <is>
          <t>PHD0020MA</t>
        </is>
      </c>
      <c r="C272" s="27" t="inlineStr">
        <is>
          <t>PH-DOWNER</t>
        </is>
      </c>
      <c r="D272" s="28" t="n">
        <v>20</v>
      </c>
      <c r="E272" s="27" t="inlineStr">
        <is>
          <t>Garrafas 20L</t>
        </is>
      </c>
      <c r="F272" s="29" t="inlineStr">
        <is>
          <t>MARRUECOS</t>
        </is>
      </c>
      <c r="G272" s="30" t="inlineStr">
        <is>
          <t>Sobre Pedido (Export)</t>
        </is>
      </c>
      <c r="H272" s="31" t="n">
        <v>600</v>
      </c>
      <c r="I272" s="31" t="n">
        <v>0</v>
      </c>
      <c r="J272" s="31" t="n">
        <v>600</v>
      </c>
      <c r="K272" s="31" t="n">
        <v>0</v>
      </c>
      <c r="L272" s="31" t="n">
        <v>0</v>
      </c>
      <c r="M272" s="32" t="n">
        <v>600</v>
      </c>
      <c r="N272" s="32" t="n">
        <v>12000</v>
      </c>
      <c r="O272" s="32" t="n">
        <v>0</v>
      </c>
      <c r="P272" s="32" t="n">
        <v>0</v>
      </c>
      <c r="Q272" s="36" t="inlineStr">
        <is>
          <t>CUBIERTO</t>
        </is>
      </c>
    </row>
    <row r="273" ht="19" customHeight="1">
      <c r="A273" s="18" t="inlineStr">
        <is>
          <t>PHD0020</t>
        </is>
      </c>
      <c r="B273" s="19" t="inlineStr">
        <is>
          <t>PHD0020</t>
        </is>
      </c>
      <c r="C273" s="20" t="inlineStr">
        <is>
          <t>PH-DOWNER</t>
        </is>
      </c>
      <c r="D273" s="21" t="n">
        <v>20</v>
      </c>
      <c r="E273" s="20" t="inlineStr">
        <is>
          <t>Garrafas 20L</t>
        </is>
      </c>
      <c r="F273" s="19" t="inlineStr">
        <is>
          <t>ESPAÑA</t>
        </is>
      </c>
      <c r="G273" s="19" t="inlineStr">
        <is>
          <t>Para Previsión (Nac)</t>
        </is>
      </c>
      <c r="H273" s="22" t="n">
        <v>640</v>
      </c>
      <c r="I273" s="22" t="n">
        <v>0</v>
      </c>
      <c r="J273" s="22" t="n">
        <v>0</v>
      </c>
      <c r="K273" s="22" t="n">
        <v>0</v>
      </c>
      <c r="L273" s="22" t="n">
        <v>640</v>
      </c>
      <c r="M273" s="23" t="n">
        <v>640</v>
      </c>
      <c r="N273" s="23" t="n">
        <v>12800</v>
      </c>
      <c r="O273" s="23" t="n">
        <v>0</v>
      </c>
      <c r="P273" s="23" t="n">
        <v>0</v>
      </c>
      <c r="Q273" s="36" t="inlineStr">
        <is>
          <t>CUBIERTO</t>
        </is>
      </c>
    </row>
    <row r="274" ht="19" customHeight="1">
      <c r="A274" s="25" t="inlineStr">
        <is>
          <t>SPCE2B0020</t>
        </is>
      </c>
      <c r="B274" s="29" t="inlineStr">
        <is>
          <t>SPCE2B0020</t>
        </is>
      </c>
      <c r="C274" s="27" t="inlineStr">
        <is>
          <t>SPRINTENE CON BORO</t>
        </is>
      </c>
      <c r="D274" s="28" t="n">
        <v>20</v>
      </c>
      <c r="E274" s="27" t="inlineStr">
        <is>
          <t>Garrafas 20L</t>
        </is>
      </c>
      <c r="F274" s="29" t="inlineStr">
        <is>
          <t>ESPAÑA</t>
        </is>
      </c>
      <c r="G274" s="29" t="inlineStr">
        <is>
          <t>Para Previsión (Nac)</t>
        </is>
      </c>
      <c r="H274" s="31" t="n">
        <v>1280</v>
      </c>
      <c r="I274" s="31" t="n">
        <v>0</v>
      </c>
      <c r="J274" s="31" t="n">
        <v>1280</v>
      </c>
      <c r="K274" s="31" t="n">
        <v>0</v>
      </c>
      <c r="L274" s="31" t="n">
        <v>0</v>
      </c>
      <c r="M274" s="32" t="n">
        <v>1280</v>
      </c>
      <c r="N274" s="32" t="n">
        <v>25600</v>
      </c>
      <c r="O274" s="32" t="n">
        <v>0</v>
      </c>
      <c r="P274" s="32" t="n">
        <v>0</v>
      </c>
      <c r="Q274" s="36" t="inlineStr">
        <is>
          <t>CUBIERTO</t>
        </is>
      </c>
    </row>
    <row r="275" ht="19" customHeight="1">
      <c r="A275" s="18" t="inlineStr">
        <is>
          <t>AO0005</t>
        </is>
      </c>
      <c r="B275" s="33" t="inlineStr">
        <is>
          <t>AO0005RO</t>
        </is>
      </c>
      <c r="C275" s="20" t="inlineStr">
        <is>
          <t>ALCAPLANT OMRI, 5 KG</t>
        </is>
      </c>
      <c r="D275" s="21" t="n">
        <v>5</v>
      </c>
      <c r="E275" s="20" t="inlineStr">
        <is>
          <t>Garrafas 5L</t>
        </is>
      </c>
      <c r="F275" s="19" t="inlineStr">
        <is>
          <t>RUMANÍA</t>
        </is>
      </c>
      <c r="G275" s="34" t="inlineStr">
        <is>
          <t>Sobre Pedido (Export)</t>
        </is>
      </c>
      <c r="H275" s="22" t="n">
        <v>0</v>
      </c>
      <c r="I275" s="22" t="n">
        <v>0</v>
      </c>
      <c r="J275" s="22" t="n">
        <v>0</v>
      </c>
      <c r="K275" s="22" t="n">
        <v>0</v>
      </c>
      <c r="L275" s="22" t="n">
        <v>0</v>
      </c>
      <c r="M275" s="23" t="n">
        <v>0</v>
      </c>
      <c r="N275" s="23" t="n">
        <v>0</v>
      </c>
      <c r="O275" s="23" t="n">
        <v>0</v>
      </c>
      <c r="P275" s="23" t="n">
        <v>0</v>
      </c>
      <c r="Q275" s="36" t="inlineStr">
        <is>
          <t>CUBIERTO</t>
        </is>
      </c>
    </row>
    <row r="276" ht="19" customHeight="1">
      <c r="A276" s="25" t="inlineStr">
        <is>
          <t>CALCIO0001</t>
        </is>
      </c>
      <c r="B276" s="26" t="inlineStr">
        <is>
          <t>CALCIO0001RO</t>
        </is>
      </c>
      <c r="C276" s="27" t="inlineStr">
        <is>
          <t>CALCIAMEC</t>
        </is>
      </c>
      <c r="D276" s="28" t="n">
        <v>1</v>
      </c>
      <c r="E276" s="27" t="inlineStr">
        <is>
          <t>Botellas 1L</t>
        </is>
      </c>
      <c r="F276" s="29" t="inlineStr">
        <is>
          <t>RUMANÍA</t>
        </is>
      </c>
      <c r="G276" s="30" t="inlineStr">
        <is>
          <t>Sobre Pedido (Export)</t>
        </is>
      </c>
      <c r="H276" s="31" t="n">
        <v>0</v>
      </c>
      <c r="I276" s="31" t="n">
        <v>0</v>
      </c>
      <c r="J276" s="31" t="n">
        <v>0</v>
      </c>
      <c r="K276" s="31" t="n">
        <v>0</v>
      </c>
      <c r="L276" s="31" t="n">
        <v>0</v>
      </c>
      <c r="M276" s="32" t="n">
        <v>0</v>
      </c>
      <c r="N276" s="32" t="n">
        <v>0</v>
      </c>
      <c r="O276" s="32" t="n">
        <v>0</v>
      </c>
      <c r="P276" s="32" t="n">
        <v>0</v>
      </c>
      <c r="Q276" s="36" t="inlineStr">
        <is>
          <t>CUBIERTO</t>
        </is>
      </c>
    </row>
    <row r="277" ht="19" customHeight="1">
      <c r="A277" s="18" t="inlineStr">
        <is>
          <t>CALCIO0020</t>
        </is>
      </c>
      <c r="B277" s="19" t="inlineStr">
        <is>
          <t>CALCIO0020</t>
        </is>
      </c>
      <c r="C277" s="20" t="inlineStr">
        <is>
          <t>CALCIAMEC</t>
        </is>
      </c>
      <c r="D277" s="21" t="n">
        <v>20</v>
      </c>
      <c r="E277" s="20" t="inlineStr">
        <is>
          <t>Garrafas 20L</t>
        </is>
      </c>
      <c r="F277" s="19" t="inlineStr">
        <is>
          <t>ESPAÑA</t>
        </is>
      </c>
      <c r="G277" s="19" t="inlineStr">
        <is>
          <t>Para Previsión (Nac)</t>
        </is>
      </c>
      <c r="H277" s="22" t="n">
        <v>1000</v>
      </c>
      <c r="I277" s="22" t="n">
        <v>0</v>
      </c>
      <c r="J277" s="22" t="n">
        <v>0</v>
      </c>
      <c r="K277" s="22" t="n">
        <v>1000</v>
      </c>
      <c r="L277" s="22" t="n">
        <v>0</v>
      </c>
      <c r="M277" s="23" t="n">
        <v>1000</v>
      </c>
      <c r="N277" s="23" t="n">
        <v>20000</v>
      </c>
      <c r="O277" s="23" t="n">
        <v>0</v>
      </c>
      <c r="P277" s="23" t="n">
        <v>0</v>
      </c>
      <c r="Q277" s="36" t="inlineStr">
        <is>
          <t>CUBIERTO</t>
        </is>
      </c>
    </row>
    <row r="278" ht="19" customHeight="1">
      <c r="A278" s="25" t="inlineStr">
        <is>
          <t>PHD0001</t>
        </is>
      </c>
      <c r="B278" s="26" t="inlineStr">
        <is>
          <t>PHD0001RO</t>
        </is>
      </c>
      <c r="C278" s="27" t="inlineStr">
        <is>
          <t>PH-DOWNER</t>
        </is>
      </c>
      <c r="D278" s="28" t="n">
        <v>1</v>
      </c>
      <c r="E278" s="27" t="inlineStr">
        <is>
          <t>Botellas 1L</t>
        </is>
      </c>
      <c r="F278" s="29" t="inlineStr">
        <is>
          <t>RUMANÍA</t>
        </is>
      </c>
      <c r="G278" s="30" t="inlineStr">
        <is>
          <t>Sobre Pedido (Export)</t>
        </is>
      </c>
      <c r="H278" s="31" t="n">
        <v>0</v>
      </c>
      <c r="I278" s="31" t="n">
        <v>0</v>
      </c>
      <c r="J278" s="31" t="n">
        <v>0</v>
      </c>
      <c r="K278" s="31" t="n">
        <v>0</v>
      </c>
      <c r="L278" s="31" t="n">
        <v>0</v>
      </c>
      <c r="M278" s="32" t="n">
        <v>0</v>
      </c>
      <c r="N278" s="32" t="n">
        <v>0</v>
      </c>
      <c r="O278" s="32" t="n">
        <v>0</v>
      </c>
      <c r="P278" s="32" t="n">
        <v>0</v>
      </c>
      <c r="Q278" s="36" t="inlineStr">
        <is>
          <t>CUBIERTO</t>
        </is>
      </c>
    </row>
    <row r="279" ht="19" customHeight="1">
      <c r="A279" s="18" t="inlineStr">
        <is>
          <t>SPCE0001</t>
        </is>
      </c>
      <c r="B279" s="33" t="inlineStr">
        <is>
          <t>SPCE0001RO</t>
        </is>
      </c>
      <c r="C279" s="20" t="inlineStr">
        <is>
          <t>SPRINTENE</t>
        </is>
      </c>
      <c r="D279" s="21" t="n">
        <v>1</v>
      </c>
      <c r="E279" s="20" t="inlineStr">
        <is>
          <t>Botellas 1L</t>
        </is>
      </c>
      <c r="F279" s="19" t="inlineStr">
        <is>
          <t>RUMANÍA</t>
        </is>
      </c>
      <c r="G279" s="34" t="inlineStr">
        <is>
          <t>Sobre Pedido (Export)</t>
        </is>
      </c>
      <c r="H279" s="22" t="n">
        <v>792</v>
      </c>
      <c r="I279" s="22" t="n">
        <v>0</v>
      </c>
      <c r="J279" s="22" t="n">
        <v>792</v>
      </c>
      <c r="K279" s="22" t="n">
        <v>0</v>
      </c>
      <c r="L279" s="22" t="n">
        <v>0</v>
      </c>
      <c r="M279" s="23" t="n">
        <v>792</v>
      </c>
      <c r="N279" s="23" t="n">
        <v>792</v>
      </c>
      <c r="O279" s="23" t="n">
        <v>0</v>
      </c>
      <c r="P279" s="23" t="n">
        <v>0</v>
      </c>
      <c r="Q279" s="36" t="inlineStr">
        <is>
          <t>CUBIERTO</t>
        </is>
      </c>
    </row>
    <row r="280" ht="19" customHeight="1">
      <c r="A280" s="25" t="inlineStr">
        <is>
          <t>SPCE0020</t>
        </is>
      </c>
      <c r="B280" s="26" t="inlineStr">
        <is>
          <t>SPCE0020RO</t>
        </is>
      </c>
      <c r="C280" s="27" t="inlineStr">
        <is>
          <t>SPRINTENE</t>
        </is>
      </c>
      <c r="D280" s="28" t="n">
        <v>20</v>
      </c>
      <c r="E280" s="27" t="inlineStr">
        <is>
          <t>Garrafas 20L</t>
        </is>
      </c>
      <c r="F280" s="29" t="inlineStr">
        <is>
          <t>RUMANÍA</t>
        </is>
      </c>
      <c r="G280" s="30" t="inlineStr">
        <is>
          <t>Sobre Pedido (Export)</t>
        </is>
      </c>
      <c r="H280" s="31" t="n">
        <v>640</v>
      </c>
      <c r="I280" s="31" t="n">
        <v>0</v>
      </c>
      <c r="J280" s="31" t="n">
        <v>640</v>
      </c>
      <c r="K280" s="31" t="n">
        <v>0</v>
      </c>
      <c r="L280" s="31" t="n">
        <v>0</v>
      </c>
      <c r="M280" s="32" t="n">
        <v>640</v>
      </c>
      <c r="N280" s="32" t="n">
        <v>12800</v>
      </c>
      <c r="O280" s="32" t="n">
        <v>0</v>
      </c>
      <c r="P280" s="32" t="n">
        <v>0</v>
      </c>
      <c r="Q280" s="36" t="inlineStr">
        <is>
          <t>CUBIERTO</t>
        </is>
      </c>
    </row>
    <row r="281" ht="19" customHeight="1">
      <c r="A281" s="18" t="inlineStr">
        <is>
          <t>WHITE0005</t>
        </is>
      </c>
      <c r="B281" s="33" t="inlineStr">
        <is>
          <t>WHITE0005RO</t>
        </is>
      </c>
      <c r="C281" s="20" t="inlineStr">
        <is>
          <t>AGROWHITE</t>
        </is>
      </c>
      <c r="D281" s="21" t="n">
        <v>5</v>
      </c>
      <c r="E281" s="20" t="inlineStr">
        <is>
          <t>Garrafas 5L</t>
        </is>
      </c>
      <c r="F281" s="19" t="inlineStr">
        <is>
          <t>RUMANÍA</t>
        </is>
      </c>
      <c r="G281" s="34" t="inlineStr">
        <is>
          <t>Sobre Pedido (Export)</t>
        </is>
      </c>
      <c r="H281" s="22" t="n">
        <v>0</v>
      </c>
      <c r="I281" s="22" t="n">
        <v>0</v>
      </c>
      <c r="J281" s="22" t="n">
        <v>0</v>
      </c>
      <c r="K281" s="22" t="n">
        <v>0</v>
      </c>
      <c r="L281" s="22" t="n">
        <v>0</v>
      </c>
      <c r="M281" s="23" t="n">
        <v>0</v>
      </c>
      <c r="N281" s="23" t="n">
        <v>0</v>
      </c>
      <c r="O281" s="23" t="n">
        <v>0</v>
      </c>
      <c r="P281" s="23" t="n">
        <v>0</v>
      </c>
      <c r="Q281" s="36" t="inlineStr">
        <is>
          <t>CUBIERTO</t>
        </is>
      </c>
    </row>
    <row r="282" ht="19" customHeight="1">
      <c r="A282" s="25" t="inlineStr">
        <is>
          <t>C-M-P0001</t>
        </is>
      </c>
      <c r="B282" s="29" t="inlineStr">
        <is>
          <t>C-M-P0001</t>
        </is>
      </c>
      <c r="C282" s="27" t="inlineStr">
        <is>
          <t>CODIFOL Mo-PLUS, 1 L</t>
        </is>
      </c>
      <c r="D282" s="28" t="n">
        <v>1</v>
      </c>
      <c r="E282" s="27" t="inlineStr">
        <is>
          <t>Botellas 1L</t>
        </is>
      </c>
      <c r="F282" s="29" t="inlineStr">
        <is>
          <t>ESPAÑA</t>
        </is>
      </c>
      <c r="G282" s="29" t="inlineStr">
        <is>
          <t>Para Previsión (Nac)</t>
        </is>
      </c>
      <c r="H282" s="31" t="n">
        <v>0</v>
      </c>
      <c r="I282" s="31" t="n">
        <v>0</v>
      </c>
      <c r="J282" s="31" t="n">
        <v>0</v>
      </c>
      <c r="K282" s="31" t="n">
        <v>0</v>
      </c>
      <c r="L282" s="31" t="n">
        <v>0</v>
      </c>
      <c r="M282" s="32" t="n">
        <v>0</v>
      </c>
      <c r="N282" s="32" t="n">
        <v>0</v>
      </c>
      <c r="O282" s="32" t="n">
        <v>0</v>
      </c>
      <c r="P282" s="32" t="n">
        <v>0</v>
      </c>
      <c r="Q282" s="36" t="inlineStr">
        <is>
          <t>CUBIERTO</t>
        </is>
      </c>
    </row>
    <row r="283" ht="19" customHeight="1">
      <c r="A283" s="18" t="inlineStr">
        <is>
          <t>C-MB0001</t>
        </is>
      </c>
      <c r="B283" s="19" t="inlineStr">
        <is>
          <t>C-MB0001</t>
        </is>
      </c>
      <c r="C283" s="20" t="inlineStr">
        <is>
          <t>CODIFOL-MB, 1 L</t>
        </is>
      </c>
      <c r="D283" s="21" t="n">
        <v>1</v>
      </c>
      <c r="E283" s="20" t="inlineStr">
        <is>
          <t>Botellas 1L</t>
        </is>
      </c>
      <c r="F283" s="19" t="inlineStr">
        <is>
          <t>ESPAÑA</t>
        </is>
      </c>
      <c r="G283" s="19" t="inlineStr">
        <is>
          <t>Para Previsión (Nac)</t>
        </is>
      </c>
      <c r="H283" s="22" t="n">
        <v>0</v>
      </c>
      <c r="I283" s="22" t="n">
        <v>0</v>
      </c>
      <c r="J283" s="22" t="n">
        <v>0</v>
      </c>
      <c r="K283" s="22" t="n">
        <v>0</v>
      </c>
      <c r="L283" s="22" t="n">
        <v>0</v>
      </c>
      <c r="M283" s="23" t="n">
        <v>0</v>
      </c>
      <c r="N283" s="23" t="n">
        <v>0</v>
      </c>
      <c r="O283" s="23" t="n">
        <v>0</v>
      </c>
      <c r="P283" s="23" t="n">
        <v>0</v>
      </c>
      <c r="Q283" s="36" t="inlineStr">
        <is>
          <t>CUBIERTO</t>
        </is>
      </c>
    </row>
    <row r="284" ht="19" customHeight="1">
      <c r="A284" s="25" t="inlineStr">
        <is>
          <t>HST0001</t>
        </is>
      </c>
      <c r="B284" s="29" t="inlineStr">
        <is>
          <t>HST0001</t>
        </is>
      </c>
      <c r="C284" s="27" t="inlineStr">
        <is>
          <t>HIDROSTRESS, 1 L</t>
        </is>
      </c>
      <c r="D284" s="28" t="n">
        <v>1</v>
      </c>
      <c r="E284" s="27" t="inlineStr">
        <is>
          <t>Botellas 1L</t>
        </is>
      </c>
      <c r="F284" s="29" t="inlineStr">
        <is>
          <t>ESPAÑA</t>
        </is>
      </c>
      <c r="G284" s="29" t="inlineStr">
        <is>
          <t>Para Previsión (Nac)</t>
        </is>
      </c>
      <c r="H284" s="31" t="n">
        <v>0</v>
      </c>
      <c r="I284" s="31" t="n">
        <v>0</v>
      </c>
      <c r="J284" s="31" t="n">
        <v>0</v>
      </c>
      <c r="K284" s="31" t="n">
        <v>0</v>
      </c>
      <c r="L284" s="31" t="n">
        <v>0</v>
      </c>
      <c r="M284" s="32" t="n">
        <v>0</v>
      </c>
      <c r="N284" s="32" t="n">
        <v>0</v>
      </c>
      <c r="O284" s="32" t="n">
        <v>0</v>
      </c>
      <c r="P284" s="32" t="n">
        <v>0</v>
      </c>
      <c r="Q284" s="36" t="inlineStr">
        <is>
          <t>CUBIERTO</t>
        </is>
      </c>
    </row>
    <row r="285" ht="19" customHeight="1">
      <c r="A285" s="18" t="inlineStr">
        <is>
          <t>TRI0001</t>
        </is>
      </c>
      <c r="B285" s="19" t="inlineStr">
        <is>
          <t>TRI0001</t>
        </is>
      </c>
      <c r="C285" s="20" t="inlineStr">
        <is>
          <t>TRIFENO-94, 1 L</t>
        </is>
      </c>
      <c r="D285" s="21" t="n">
        <v>1</v>
      </c>
      <c r="E285" s="20" t="inlineStr">
        <is>
          <t>Botellas 1L</t>
        </is>
      </c>
      <c r="F285" s="19" t="inlineStr">
        <is>
          <t>ESPAÑA</t>
        </is>
      </c>
      <c r="G285" s="19" t="inlineStr">
        <is>
          <t>Para Previsión (Nac)</t>
        </is>
      </c>
      <c r="H285" s="22" t="n">
        <v>216</v>
      </c>
      <c r="I285" s="22" t="n">
        <v>0</v>
      </c>
      <c r="J285" s="22" t="n">
        <v>0</v>
      </c>
      <c r="K285" s="22" t="n">
        <v>0</v>
      </c>
      <c r="L285" s="22" t="n">
        <v>216</v>
      </c>
      <c r="M285" s="23" t="n">
        <v>216</v>
      </c>
      <c r="N285" s="23" t="n">
        <v>216</v>
      </c>
      <c r="O285" s="23" t="n">
        <v>0</v>
      </c>
      <c r="P285" s="23" t="n">
        <v>0</v>
      </c>
      <c r="Q285" s="36" t="inlineStr">
        <is>
          <t>CUBIERTO</t>
        </is>
      </c>
    </row>
    <row r="286" ht="19" customHeight="1">
      <c r="A286" s="25" t="inlineStr">
        <is>
          <t>AGZ-M0001</t>
        </is>
      </c>
      <c r="B286" s="29" t="inlineStr">
        <is>
          <t>AGZ-M0001</t>
        </is>
      </c>
      <c r="C286" s="27" t="inlineStr">
        <is>
          <t>AGROXILATO-ZN-MN, 1 KG</t>
        </is>
      </c>
      <c r="D286" s="28" t="n">
        <v>1</v>
      </c>
      <c r="E286" s="27" t="inlineStr">
        <is>
          <t>Botellas 1L</t>
        </is>
      </c>
      <c r="F286" s="29" t="inlineStr">
        <is>
          <t>ESPAÑA</t>
        </is>
      </c>
      <c r="G286" s="29" t="inlineStr">
        <is>
          <t>Para Previsión (Nac)</t>
        </is>
      </c>
      <c r="H286" s="31" t="n">
        <v>112</v>
      </c>
      <c r="I286" s="31" t="n">
        <v>0</v>
      </c>
      <c r="J286" s="31" t="n">
        <v>0</v>
      </c>
      <c r="K286" s="31" t="n">
        <v>112</v>
      </c>
      <c r="L286" s="31" t="n">
        <v>0</v>
      </c>
      <c r="M286" s="32" t="n">
        <v>112</v>
      </c>
      <c r="N286" s="32" t="n">
        <v>112</v>
      </c>
      <c r="O286" s="32" t="n">
        <v>0</v>
      </c>
      <c r="P286" s="32" t="n">
        <v>0</v>
      </c>
      <c r="Q286" s="36" t="inlineStr">
        <is>
          <t>CUBIERTO</t>
        </is>
      </c>
    </row>
    <row r="287" ht="19" customHeight="1">
      <c r="A287" s="18" t="inlineStr">
        <is>
          <t>AGN0020</t>
        </is>
      </c>
      <c r="B287" s="19" t="inlineStr">
        <is>
          <t>AGN0020</t>
        </is>
      </c>
      <c r="C287" s="20" t="inlineStr">
        <is>
          <t>AGROXILATO N, 20 L</t>
        </is>
      </c>
      <c r="D287" s="21" t="n">
        <v>20</v>
      </c>
      <c r="E287" s="20" t="inlineStr">
        <is>
          <t>Garrafas 20L</t>
        </is>
      </c>
      <c r="F287" s="19" t="inlineStr">
        <is>
          <t>ESPAÑA</t>
        </is>
      </c>
      <c r="G287" s="19" t="inlineStr">
        <is>
          <t>Para Previsión (Nac)</t>
        </is>
      </c>
      <c r="H287" s="22" t="n">
        <v>0</v>
      </c>
      <c r="I287" s="22" t="n">
        <v>0</v>
      </c>
      <c r="J287" s="22" t="n">
        <v>0</v>
      </c>
      <c r="K287" s="22" t="n">
        <v>0</v>
      </c>
      <c r="L287" s="22" t="n">
        <v>0</v>
      </c>
      <c r="M287" s="23" t="n">
        <v>0</v>
      </c>
      <c r="N287" s="23" t="n">
        <v>0</v>
      </c>
      <c r="O287" s="23" t="n">
        <v>0</v>
      </c>
      <c r="P287" s="23" t="n">
        <v>0</v>
      </c>
      <c r="Q287" s="36" t="inlineStr">
        <is>
          <t>CUBIERTO</t>
        </is>
      </c>
    </row>
    <row r="288" ht="19" customHeight="1">
      <c r="A288" s="25" t="inlineStr">
        <is>
          <t>BEY0020</t>
        </is>
      </c>
      <c r="B288" s="29" t="inlineStr">
        <is>
          <t>BEY0020</t>
        </is>
      </c>
      <c r="C288" s="27" t="inlineStr">
        <is>
          <t>FLORAMEC PLUS 20 L</t>
        </is>
      </c>
      <c r="D288" s="28" t="n">
        <v>20</v>
      </c>
      <c r="E288" s="27" t="inlineStr">
        <is>
          <t>Garrafas 20L</t>
        </is>
      </c>
      <c r="F288" s="29" t="inlineStr">
        <is>
          <t>ESPAÑA</t>
        </is>
      </c>
      <c r="G288" s="29" t="inlineStr">
        <is>
          <t>Para Previsión (Nac)</t>
        </is>
      </c>
      <c r="H288" s="31" t="n">
        <v>0</v>
      </c>
      <c r="I288" s="31" t="n">
        <v>0</v>
      </c>
      <c r="J288" s="31" t="n">
        <v>0</v>
      </c>
      <c r="K288" s="31" t="n">
        <v>0</v>
      </c>
      <c r="L288" s="31" t="n">
        <v>0</v>
      </c>
      <c r="M288" s="32" t="n">
        <v>0</v>
      </c>
      <c r="N288" s="32" t="n">
        <v>0</v>
      </c>
      <c r="O288" s="32" t="n">
        <v>0</v>
      </c>
      <c r="P288" s="32" t="n">
        <v>0</v>
      </c>
      <c r="Q288" s="36" t="inlineStr">
        <is>
          <t>CUBIERTO</t>
        </is>
      </c>
    </row>
    <row r="289" ht="19" customHeight="1">
      <c r="A289" s="18" t="inlineStr">
        <is>
          <t>BROTA0001</t>
        </is>
      </c>
      <c r="B289" s="19" t="inlineStr">
        <is>
          <t>BROTA0001</t>
        </is>
      </c>
      <c r="C289" s="20" t="inlineStr">
        <is>
          <t>BROTAMEC, 1 L</t>
        </is>
      </c>
      <c r="D289" s="21" t="n">
        <v>1</v>
      </c>
      <c r="E289" s="20" t="inlineStr">
        <is>
          <t>Botellas 1L</t>
        </is>
      </c>
      <c r="F289" s="19" t="inlineStr">
        <is>
          <t>ESPAÑA</t>
        </is>
      </c>
      <c r="G289" s="19" t="inlineStr">
        <is>
          <t>Para Previsión (Nac)</t>
        </is>
      </c>
      <c r="H289" s="22" t="n">
        <v>0</v>
      </c>
      <c r="I289" s="22" t="n">
        <v>0</v>
      </c>
      <c r="J289" s="22" t="n">
        <v>0</v>
      </c>
      <c r="K289" s="22" t="n">
        <v>0</v>
      </c>
      <c r="L289" s="22" t="n">
        <v>0</v>
      </c>
      <c r="M289" s="23" t="n">
        <v>0</v>
      </c>
      <c r="N289" s="23" t="n">
        <v>0</v>
      </c>
      <c r="O289" s="23" t="n">
        <v>0</v>
      </c>
      <c r="P289" s="23" t="n">
        <v>0</v>
      </c>
      <c r="Q289" s="36" t="inlineStr">
        <is>
          <t>CUBIERTO</t>
        </is>
      </c>
    </row>
    <row r="290" ht="19" customHeight="1">
      <c r="A290" s="25" t="inlineStr">
        <is>
          <t>BPLUS20005</t>
        </is>
      </c>
      <c r="B290" s="29" t="inlineStr">
        <is>
          <t>BPLUS20005</t>
        </is>
      </c>
      <c r="C290" s="27" t="inlineStr">
        <is>
          <t>BOROCAL PLUS, 5 KG</t>
        </is>
      </c>
      <c r="D290" s="28" t="n">
        <v>5</v>
      </c>
      <c r="E290" s="27" t="inlineStr">
        <is>
          <t>Garrafas 5L</t>
        </is>
      </c>
      <c r="F290" s="29" t="inlineStr">
        <is>
          <t>ESPAÑA</t>
        </is>
      </c>
      <c r="G290" s="29" t="inlineStr">
        <is>
          <t>Para Previsión (Nac)</t>
        </is>
      </c>
      <c r="H290" s="31" t="n">
        <v>0</v>
      </c>
      <c r="I290" s="31" t="n">
        <v>0</v>
      </c>
      <c r="J290" s="31" t="n">
        <v>0</v>
      </c>
      <c r="K290" s="31" t="n">
        <v>0</v>
      </c>
      <c r="L290" s="31" t="n">
        <v>0</v>
      </c>
      <c r="M290" s="32" t="n">
        <v>0</v>
      </c>
      <c r="N290" s="32" t="n">
        <v>0</v>
      </c>
      <c r="O290" s="32" t="n">
        <v>0</v>
      </c>
      <c r="P290" s="32" t="n">
        <v>0</v>
      </c>
      <c r="Q290" s="36" t="inlineStr">
        <is>
          <t>CUBIERTO</t>
        </is>
      </c>
    </row>
    <row r="291" ht="19" customHeight="1">
      <c r="A291" s="18" t="inlineStr">
        <is>
          <t>AGMNP0005</t>
        </is>
      </c>
      <c r="B291" s="19" t="inlineStr">
        <is>
          <t>AGMNP0005</t>
        </is>
      </c>
      <c r="C291" s="20" t="inlineStr">
        <is>
          <t>AGROXILATO MN PLUS, 5 KG</t>
        </is>
      </c>
      <c r="D291" s="21" t="n">
        <v>5</v>
      </c>
      <c r="E291" s="20" t="inlineStr">
        <is>
          <t>Garrafas 5L</t>
        </is>
      </c>
      <c r="F291" s="19" t="inlineStr">
        <is>
          <t>ESPAÑA</t>
        </is>
      </c>
      <c r="G291" s="19" t="inlineStr">
        <is>
          <t>Para Previsión (Nac)</t>
        </is>
      </c>
      <c r="H291" s="22" t="n">
        <v>0</v>
      </c>
      <c r="I291" s="22" t="n">
        <v>0</v>
      </c>
      <c r="J291" s="22" t="n">
        <v>0</v>
      </c>
      <c r="K291" s="22" t="n">
        <v>0</v>
      </c>
      <c r="L291" s="22" t="n">
        <v>0</v>
      </c>
      <c r="M291" s="23" t="n">
        <v>0</v>
      </c>
      <c r="N291" s="23" t="n">
        <v>0</v>
      </c>
      <c r="O291" s="23" t="n">
        <v>0</v>
      </c>
      <c r="P291" s="23" t="n">
        <v>0</v>
      </c>
      <c r="Q291" s="36" t="inlineStr">
        <is>
          <t>CUBIERTO</t>
        </is>
      </c>
    </row>
    <row r="292" ht="19" customHeight="1">
      <c r="A292" s="25" t="inlineStr">
        <is>
          <t>CBROT0001</t>
        </is>
      </c>
      <c r="B292" s="29" t="inlineStr">
        <is>
          <t>CBROT0001</t>
        </is>
      </c>
      <c r="C292" s="27" t="inlineStr">
        <is>
          <t>CODIBROT, 1 L</t>
        </is>
      </c>
      <c r="D292" s="28" t="n">
        <v>1</v>
      </c>
      <c r="E292" s="27" t="inlineStr">
        <is>
          <t>Botellas 1L</t>
        </is>
      </c>
      <c r="F292" s="29" t="inlineStr">
        <is>
          <t>ESPAÑA</t>
        </is>
      </c>
      <c r="G292" s="29" t="inlineStr">
        <is>
          <t>Para Previsión (Nac)</t>
        </is>
      </c>
      <c r="H292" s="31" t="n">
        <v>0</v>
      </c>
      <c r="I292" s="31" t="n">
        <v>0</v>
      </c>
      <c r="J292" s="31" t="n">
        <v>0</v>
      </c>
      <c r="K292" s="31" t="n">
        <v>0</v>
      </c>
      <c r="L292" s="31" t="n">
        <v>0</v>
      </c>
      <c r="M292" s="32" t="n">
        <v>0</v>
      </c>
      <c r="N292" s="32" t="n">
        <v>0</v>
      </c>
      <c r="O292" s="32" t="n">
        <v>0</v>
      </c>
      <c r="P292" s="32" t="n">
        <v>0</v>
      </c>
      <c r="Q292" s="36" t="inlineStr">
        <is>
          <t>CUBIERTO</t>
        </is>
      </c>
    </row>
    <row r="293" ht="19" customHeight="1">
      <c r="A293" s="18" t="inlineStr">
        <is>
          <t>FU0001</t>
        </is>
      </c>
      <c r="B293" s="33" t="inlineStr">
        <is>
          <t>FU0001DO</t>
        </is>
      </c>
      <c r="C293" s="20" t="inlineStr">
        <is>
          <t>FULVIGIN, 1 L</t>
        </is>
      </c>
      <c r="D293" s="21" t="n">
        <v>1</v>
      </c>
      <c r="E293" s="20" t="inlineStr">
        <is>
          <t>Botellas 1L</t>
        </is>
      </c>
      <c r="F293" s="19" t="inlineStr">
        <is>
          <t>DOMINICANA, REPÚBLICA</t>
        </is>
      </c>
      <c r="G293" s="34" t="inlineStr">
        <is>
          <t>Sobre Pedido (Export)</t>
        </is>
      </c>
      <c r="H293" s="22" t="n">
        <v>500</v>
      </c>
      <c r="I293" s="22" t="n">
        <v>0</v>
      </c>
      <c r="J293" s="22" t="n">
        <v>0</v>
      </c>
      <c r="K293" s="22" t="n">
        <v>500</v>
      </c>
      <c r="L293" s="22" t="n">
        <v>0</v>
      </c>
      <c r="M293" s="23" t="n">
        <v>500</v>
      </c>
      <c r="N293" s="23" t="n">
        <v>500</v>
      </c>
      <c r="O293" s="23" t="n">
        <v>0</v>
      </c>
      <c r="P293" s="23" t="n">
        <v>0</v>
      </c>
      <c r="Q293" s="36" t="inlineStr">
        <is>
          <t>CUBIERTO</t>
        </is>
      </c>
    </row>
    <row r="294" ht="19" customHeight="1">
      <c r="A294" s="25" t="inlineStr">
        <is>
          <t>N0001</t>
        </is>
      </c>
      <c r="B294" s="29" t="inlineStr">
        <is>
          <t>N0001</t>
        </is>
      </c>
      <c r="C294" s="27" t="inlineStr">
        <is>
          <t>NUTRICALE, 1 L</t>
        </is>
      </c>
      <c r="D294" s="28" t="n">
        <v>1</v>
      </c>
      <c r="E294" s="27" t="inlineStr">
        <is>
          <t>Botellas 1L</t>
        </is>
      </c>
      <c r="F294" s="29" t="inlineStr">
        <is>
          <t>ESPAÑA</t>
        </is>
      </c>
      <c r="G294" s="29" t="inlineStr">
        <is>
          <t>Para Previsión (Nac)</t>
        </is>
      </c>
      <c r="H294" s="31" t="n">
        <v>0</v>
      </c>
      <c r="I294" s="31" t="n">
        <v>0</v>
      </c>
      <c r="J294" s="31" t="n">
        <v>0</v>
      </c>
      <c r="K294" s="31" t="n">
        <v>0</v>
      </c>
      <c r="L294" s="31" t="n">
        <v>0</v>
      </c>
      <c r="M294" s="32" t="n">
        <v>0</v>
      </c>
      <c r="N294" s="32" t="n">
        <v>0</v>
      </c>
      <c r="O294" s="32" t="n">
        <v>0</v>
      </c>
      <c r="P294" s="32" t="n">
        <v>0</v>
      </c>
      <c r="Q294" s="36" t="inlineStr">
        <is>
          <t>CUBIERTO</t>
        </is>
      </c>
    </row>
    <row r="295" ht="19" customHeight="1">
      <c r="A295" s="18" t="inlineStr">
        <is>
          <t>P-ZM3.50020</t>
        </is>
      </c>
      <c r="B295" s="19" t="inlineStr">
        <is>
          <t>P-ZM3.50020</t>
        </is>
      </c>
      <c r="C295" s="20" t="inlineStr">
        <is>
          <t>POLIGREEN-ZNMN, 20 L</t>
        </is>
      </c>
      <c r="D295" s="21" t="n">
        <v>20</v>
      </c>
      <c r="E295" s="20" t="inlineStr">
        <is>
          <t>Garrafas 20L</t>
        </is>
      </c>
      <c r="F295" s="19" t="inlineStr">
        <is>
          <t>ESPAÑA</t>
        </is>
      </c>
      <c r="G295" s="19" t="inlineStr">
        <is>
          <t>Para Previsión (Nac)</t>
        </is>
      </c>
      <c r="H295" s="22" t="n">
        <v>0</v>
      </c>
      <c r="I295" s="22" t="n">
        <v>0</v>
      </c>
      <c r="J295" s="22" t="n">
        <v>0</v>
      </c>
      <c r="K295" s="22" t="n">
        <v>0</v>
      </c>
      <c r="L295" s="22" t="n">
        <v>0</v>
      </c>
      <c r="M295" s="23" t="n">
        <v>0</v>
      </c>
      <c r="N295" s="23" t="n">
        <v>0</v>
      </c>
      <c r="O295" s="23" t="n">
        <v>0</v>
      </c>
      <c r="P295" s="23" t="n">
        <v>0</v>
      </c>
      <c r="Q295" s="36" t="inlineStr">
        <is>
          <t>CUBIERTO</t>
        </is>
      </c>
    </row>
    <row r="296" ht="19" customHeight="1">
      <c r="A296" s="25" t="inlineStr">
        <is>
          <t>BC0020</t>
        </is>
      </c>
      <c r="B296" s="29" t="inlineStr">
        <is>
          <t>BC0020</t>
        </is>
      </c>
      <c r="C296" s="27" t="inlineStr">
        <is>
          <t>BITTER-CAL, 20 KG</t>
        </is>
      </c>
      <c r="D296" s="28" t="n">
        <v>20</v>
      </c>
      <c r="E296" s="27" t="inlineStr">
        <is>
          <t>Garrafas 20L</t>
        </is>
      </c>
      <c r="F296" s="29" t="inlineStr">
        <is>
          <t>ESPAÑA</t>
        </is>
      </c>
      <c r="G296" s="29" t="inlineStr">
        <is>
          <t>Para Previsión (Nac)</t>
        </is>
      </c>
      <c r="H296" s="31" t="n">
        <v>0</v>
      </c>
      <c r="I296" s="31" t="n">
        <v>0</v>
      </c>
      <c r="J296" s="31" t="n">
        <v>0</v>
      </c>
      <c r="K296" s="31" t="n">
        <v>0</v>
      </c>
      <c r="L296" s="31" t="n">
        <v>0</v>
      </c>
      <c r="M296" s="32" t="n">
        <v>0</v>
      </c>
      <c r="N296" s="32" t="n">
        <v>0</v>
      </c>
      <c r="O296" s="32" t="n">
        <v>0</v>
      </c>
      <c r="P296" s="32" t="n">
        <v>0</v>
      </c>
      <c r="Q296" s="36" t="inlineStr">
        <is>
          <t>CUBIERTO</t>
        </is>
      </c>
    </row>
    <row r="297" ht="19" customHeight="1">
      <c r="A297" s="18" t="inlineStr">
        <is>
          <t>AGXKAEP0005</t>
        </is>
      </c>
      <c r="B297" s="19" t="inlineStr">
        <is>
          <t>AGXKAEP0005</t>
        </is>
      </c>
      <c r="C297" s="20" t="inlineStr">
        <is>
          <t>BIOCULTURE POTASIO PLUS, 5 L</t>
        </is>
      </c>
      <c r="D297" s="21" t="n">
        <v>5</v>
      </c>
      <c r="E297" s="20" t="inlineStr">
        <is>
          <t>Garrafas 5L</t>
        </is>
      </c>
      <c r="F297" s="19" t="inlineStr">
        <is>
          <t>ESPAÑA</t>
        </is>
      </c>
      <c r="G297" s="19" t="inlineStr">
        <is>
          <t>Para Previsión (Nac)</t>
        </is>
      </c>
      <c r="H297" s="22" t="n">
        <v>0</v>
      </c>
      <c r="I297" s="22" t="n">
        <v>0</v>
      </c>
      <c r="J297" s="22" t="n">
        <v>0</v>
      </c>
      <c r="K297" s="22" t="n">
        <v>0</v>
      </c>
      <c r="L297" s="22" t="n">
        <v>0</v>
      </c>
      <c r="M297" s="23" t="n">
        <v>0</v>
      </c>
      <c r="N297" s="23" t="n">
        <v>0</v>
      </c>
      <c r="O297" s="23" t="n">
        <v>0</v>
      </c>
      <c r="P297" s="23" t="n">
        <v>0</v>
      </c>
      <c r="Q297" s="36" t="inlineStr">
        <is>
          <t>CUBIERTO</t>
        </is>
      </c>
    </row>
    <row r="298" ht="19" customHeight="1">
      <c r="A298" s="25" t="inlineStr">
        <is>
          <t>BAYCAL0020</t>
        </is>
      </c>
      <c r="B298" s="26" t="inlineStr">
        <is>
          <t>BAYCAL0020CL</t>
        </is>
      </c>
      <c r="C298" s="27" t="inlineStr">
        <is>
          <t>BAYFOLAN CALCIO</t>
        </is>
      </c>
      <c r="D298" s="28" t="n">
        <v>20</v>
      </c>
      <c r="E298" s="27" t="inlineStr">
        <is>
          <t>Garrafas 20L</t>
        </is>
      </c>
      <c r="F298" s="29" t="inlineStr">
        <is>
          <t>CHILE</t>
        </is>
      </c>
      <c r="G298" s="30" t="inlineStr">
        <is>
          <t>Sobre Pedido (Export)</t>
        </is>
      </c>
      <c r="H298" s="31" t="n">
        <v>0</v>
      </c>
      <c r="I298" s="31" t="n">
        <v>0</v>
      </c>
      <c r="J298" s="31" t="n">
        <v>0</v>
      </c>
      <c r="K298" s="31" t="n">
        <v>0</v>
      </c>
      <c r="L298" s="31" t="n">
        <v>0</v>
      </c>
      <c r="M298" s="32" t="n">
        <v>0</v>
      </c>
      <c r="N298" s="32" t="n">
        <v>0</v>
      </c>
      <c r="O298" s="32" t="n">
        <v>0</v>
      </c>
      <c r="P298" s="32" t="n">
        <v>0</v>
      </c>
      <c r="Q298" s="36" t="inlineStr">
        <is>
          <t>CUBIERTO</t>
        </is>
      </c>
    </row>
    <row r="299" ht="19" customHeight="1">
      <c r="A299" s="18" t="inlineStr">
        <is>
          <t>AQUOMB0001</t>
        </is>
      </c>
      <c r="B299" s="33" t="inlineStr">
        <is>
          <t>AQUOMB0001EC</t>
        </is>
      </c>
      <c r="C299" s="20" t="inlineStr">
        <is>
          <t>AQUOM-BORO, 1 L</t>
        </is>
      </c>
      <c r="D299" s="21" t="n">
        <v>1</v>
      </c>
      <c r="E299" s="20" t="inlineStr">
        <is>
          <t>Botellas 1L</t>
        </is>
      </c>
      <c r="F299" s="19" t="inlineStr">
        <is>
          <t>ECUADOR (INCLUIDAS LAS ISLAS GALÁPAGOS)</t>
        </is>
      </c>
      <c r="G299" s="34" t="inlineStr">
        <is>
          <t>Sobre Pedido (Export)</t>
        </is>
      </c>
      <c r="H299" s="22" t="n">
        <v>0</v>
      </c>
      <c r="I299" s="22" t="n">
        <v>0</v>
      </c>
      <c r="J299" s="22" t="n">
        <v>0</v>
      </c>
      <c r="K299" s="22" t="n">
        <v>0</v>
      </c>
      <c r="L299" s="22" t="n">
        <v>0</v>
      </c>
      <c r="M299" s="23" t="n">
        <v>0</v>
      </c>
      <c r="N299" s="23" t="n">
        <v>0</v>
      </c>
      <c r="O299" s="23" t="n">
        <v>0</v>
      </c>
      <c r="P299" s="23" t="n">
        <v>0</v>
      </c>
      <c r="Q299" s="36" t="inlineStr">
        <is>
          <t>CUBIERTO</t>
        </is>
      </c>
    </row>
    <row r="300" ht="26" customHeight="1">
      <c r="A300" s="37" t="inlineStr">
        <is>
          <t>TOTAL GENERAL (UNIDADES Y VOLUMEN)</t>
        </is>
      </c>
      <c r="B300" s="38" t="n"/>
      <c r="C300" s="38" t="n"/>
      <c r="D300" s="38" t="n"/>
      <c r="E300" s="38" t="n"/>
      <c r="F300" s="38" t="n"/>
      <c r="G300" s="38" t="n"/>
      <c r="H300" s="39">
        <f>SUM(H9:H299)</f>
        <v/>
      </c>
      <c r="I300" s="39">
        <f>SUM(I9:I299)</f>
        <v/>
      </c>
      <c r="J300" s="39">
        <f>SUM(J9:J299)</f>
        <v/>
      </c>
      <c r="K300" s="39">
        <f>SUM(K9:K299)</f>
        <v/>
      </c>
      <c r="L300" s="39">
        <f>SUM(L9:L299)</f>
        <v/>
      </c>
      <c r="M300" s="39">
        <f>SUM(M9:M299)</f>
        <v/>
      </c>
      <c r="N300" s="39">
        <f>SUM(N9:N299)</f>
        <v/>
      </c>
      <c r="O300" s="39">
        <f>SUM(O9:O299)</f>
        <v/>
      </c>
      <c r="P300" s="39">
        <f>SUM(P9:P299)</f>
        <v/>
      </c>
      <c r="Q300" s="40" t="inlineStr"/>
    </row>
  </sheetData>
  <autoFilter ref="A8:Q299"/>
  <mergeCells count="18">
    <mergeCell ref="A4:B4"/>
    <mergeCell ref="G4:H4"/>
    <mergeCell ref="E4:F4"/>
    <mergeCell ref="H7:M7"/>
    <mergeCell ref="C5:D5"/>
    <mergeCell ref="A5:B5"/>
    <mergeCell ref="G5:H5"/>
    <mergeCell ref="A2:Q2"/>
    <mergeCell ref="E5:F5"/>
    <mergeCell ref="I4:L4"/>
    <mergeCell ref="A7:G7"/>
    <mergeCell ref="M4:Q4"/>
    <mergeCell ref="M5:Q5"/>
    <mergeCell ref="A300:G300"/>
    <mergeCell ref="N7:Q7"/>
    <mergeCell ref="A1:Q1"/>
    <mergeCell ref="I5:L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6" customWidth="1" min="2" max="2"/>
    <col width="20" customWidth="1" min="3" max="3"/>
    <col width="22" customWidth="1" min="4" max="4"/>
    <col width="20" customWidth="1" min="5" max="5"/>
    <col width="22" customWidth="1" min="6" max="6"/>
    <col width="18" customWidth="1" min="7" max="7"/>
    <col width="18" customWidth="1" min="8" max="8"/>
    <col width="18" customWidth="1" min="9" max="9"/>
    <col width="22" customWidth="1" min="10" max="10"/>
    <col width="20" customWidth="1" min="11" max="11"/>
    <col width="24" customWidth="1" min="12" max="12"/>
    <col width="20" customWidth="1" min="13" max="13"/>
  </cols>
  <sheetData>
    <row r="1" ht="28" customHeight="1">
      <c r="A1" s="1" t="inlineStr">
        <is>
          <t xml:space="preserve">  CODIAGRO S.L.  |  PLAN MAESTRO DE PRODUCCIÓN DE GRANELES (NECESIDAD EN LITROS / KG POR MES)</t>
        </is>
      </c>
    </row>
    <row r="2" ht="18" customHeight="1">
      <c r="A2" s="2" t="inlineStr">
        <is>
          <t xml:space="preserve">  Horizonte: Octubre 2026 - Diciembre 2026  |  Total Graneles Químicos a Fabricar en Planta  |  Fecha Emisión: 06/10/2026 15:12</t>
        </is>
      </c>
    </row>
    <row r="4" ht="20" customHeight="1">
      <c r="A4" s="9" t="inlineStr">
        <is>
          <t>1. IDENTIFICACIÓN GRANEL</t>
        </is>
      </c>
      <c r="C4" s="10" t="inlineStr">
        <is>
          <t>2. DISPONIBILIDAD INICIAL (L/KG)</t>
        </is>
      </c>
      <c r="F4" s="10" t="inlineStr">
        <is>
          <t>3. DEMANDA Y PREVISIÓN MENSUAL DE GRANEL (L/KG)</t>
        </is>
      </c>
      <c r="K4" s="11" t="inlineStr">
        <is>
          <t>4. NECESIDAD NETA FABRICACIÓN REACTORES</t>
        </is>
      </c>
    </row>
    <row r="5" ht="24" customHeight="1">
      <c r="A5" s="12" t="inlineStr">
        <is>
          <t>Cód. Granel</t>
        </is>
      </c>
      <c r="B5" s="13" t="inlineStr">
        <is>
          <t>Producto Químico / Granel</t>
        </is>
      </c>
      <c r="C5" s="15" t="inlineStr">
        <is>
          <t>Stock Tanque (L/Kg)</t>
        </is>
      </c>
      <c r="D5" s="15" t="inlineStr">
        <is>
          <t>Stock Envasado (L/Kg)</t>
        </is>
      </c>
      <c r="E5" s="15" t="inlineStr">
        <is>
          <t>Stock Total (L/Kg)</t>
        </is>
      </c>
      <c r="F5" s="15" t="inlineStr">
        <is>
          <t>Cartera Inmediata (L/Kg)</t>
        </is>
      </c>
      <c r="G5" s="15" t="inlineStr">
        <is>
          <t>Oct-26 (L/Kg)</t>
        </is>
      </c>
      <c r="H5" s="15" t="inlineStr">
        <is>
          <t>Nov-26 (L/Kg)</t>
        </is>
      </c>
      <c r="I5" s="15" t="inlineStr">
        <is>
          <t>Dic-26 (L/Kg)</t>
        </is>
      </c>
      <c r="J5" s="15" t="inlineStr">
        <is>
          <t>Demanda Total (L/Kg)</t>
        </is>
      </c>
      <c r="K5" s="16" t="inlineStr">
        <is>
          <t>Balance Neto (L/Kg)</t>
        </is>
      </c>
      <c r="L5" s="16" t="inlineStr">
        <is>
          <t>FALTA FABRICAR (L/Kg)</t>
        </is>
      </c>
      <c r="M5" s="17" t="inlineStr">
        <is>
          <t>Prioridad Reactor</t>
        </is>
      </c>
    </row>
    <row r="6" ht="20" customHeight="1">
      <c r="A6" s="25" t="inlineStr">
        <is>
          <t>S</t>
        </is>
      </c>
      <c r="B6" s="41" t="inlineStr">
        <is>
          <t>SALWAX STAR</t>
        </is>
      </c>
      <c r="C6" s="31" t="n">
        <v>23740</v>
      </c>
      <c r="D6" s="31" t="n">
        <v>8320000</v>
      </c>
      <c r="E6" s="32" t="n">
        <v>8343740</v>
      </c>
      <c r="F6" s="31" t="n">
        <v>0</v>
      </c>
      <c r="G6" s="31" t="n">
        <v>19611200</v>
      </c>
      <c r="H6" s="31" t="n">
        <v>20624000</v>
      </c>
      <c r="I6" s="31" t="n">
        <v>12800</v>
      </c>
      <c r="J6" s="32" t="n">
        <v>40248000</v>
      </c>
      <c r="K6" s="31" t="n">
        <v>-31904260</v>
      </c>
      <c r="L6" s="32" t="n">
        <v>31904260</v>
      </c>
      <c r="M6" s="24" t="inlineStr">
        <is>
          <t>FABRICAR GRANEL</t>
        </is>
      </c>
    </row>
    <row r="7" ht="20" customHeight="1">
      <c r="A7" s="18" t="inlineStr">
        <is>
          <t>A</t>
        </is>
      </c>
      <c r="B7" s="42" t="inlineStr">
        <is>
          <t>ALCAPLANT</t>
        </is>
      </c>
      <c r="C7" s="22" t="n">
        <v>500</v>
      </c>
      <c r="D7" s="22" t="n">
        <v>1147350</v>
      </c>
      <c r="E7" s="23" t="n">
        <v>1147850</v>
      </c>
      <c r="F7" s="22" t="n">
        <v>113100</v>
      </c>
      <c r="G7" s="22" t="n">
        <v>1743000</v>
      </c>
      <c r="H7" s="22" t="n">
        <v>22105750</v>
      </c>
      <c r="I7" s="22" t="n">
        <v>1916500</v>
      </c>
      <c r="J7" s="23" t="n">
        <v>25878350</v>
      </c>
      <c r="K7" s="22" t="n">
        <v>-24730500</v>
      </c>
      <c r="L7" s="23" t="n">
        <v>24730500</v>
      </c>
      <c r="M7" s="24" t="inlineStr">
        <is>
          <t>FABRICAR GRANEL</t>
        </is>
      </c>
    </row>
    <row r="8" ht="20" customHeight="1">
      <c r="A8" s="25" t="inlineStr">
        <is>
          <t>AGXK</t>
        </is>
      </c>
      <c r="B8" s="41" t="inlineStr">
        <is>
          <t>AGROXILATO-K</t>
        </is>
      </c>
      <c r="C8" s="31" t="n">
        <v>11802</v>
      </c>
      <c r="D8" s="31" t="n">
        <v>526500</v>
      </c>
      <c r="E8" s="32" t="n">
        <v>538302</v>
      </c>
      <c r="F8" s="31" t="n">
        <v>0</v>
      </c>
      <c r="G8" s="31" t="n">
        <v>6304996</v>
      </c>
      <c r="H8" s="31" t="n">
        <v>9251800</v>
      </c>
      <c r="I8" s="31" t="n">
        <v>7053400</v>
      </c>
      <c r="J8" s="32" t="n">
        <v>22610196</v>
      </c>
      <c r="K8" s="31" t="n">
        <v>-22071894</v>
      </c>
      <c r="L8" s="32" t="n">
        <v>22071894</v>
      </c>
      <c r="M8" s="24" t="inlineStr">
        <is>
          <t>FABRICAR GRANEL</t>
        </is>
      </c>
    </row>
    <row r="9" ht="20" customHeight="1">
      <c r="A9" s="18" t="inlineStr">
        <is>
          <t>BIO</t>
        </is>
      </c>
      <c r="B9" s="42" t="inlineStr">
        <is>
          <t>BIORAD-20</t>
        </is>
      </c>
      <c r="C9" s="22" t="n">
        <v>21107</v>
      </c>
      <c r="D9" s="22" t="n">
        <v>3123306</v>
      </c>
      <c r="E9" s="23" t="n">
        <v>3144413</v>
      </c>
      <c r="F9" s="22" t="n">
        <v>11214000</v>
      </c>
      <c r="G9" s="22" t="n">
        <v>3215692</v>
      </c>
      <c r="H9" s="22" t="n">
        <v>6187224</v>
      </c>
      <c r="I9" s="22" t="n">
        <v>756800</v>
      </c>
      <c r="J9" s="23" t="n">
        <v>21373716</v>
      </c>
      <c r="K9" s="22" t="n">
        <v>-18229303</v>
      </c>
      <c r="L9" s="23" t="n">
        <v>18229303</v>
      </c>
      <c r="M9" s="24" t="inlineStr">
        <is>
          <t>FABRICAR GRANEL</t>
        </is>
      </c>
    </row>
    <row r="10" ht="20" customHeight="1">
      <c r="A10" s="25" t="inlineStr">
        <is>
          <t>AGXCR</t>
        </is>
      </c>
      <c r="B10" s="41" t="inlineStr">
        <is>
          <t>AGROXILATO-K  (0-5-20) EXPORTACIÓN</t>
        </is>
      </c>
      <c r="C10" s="31" t="n">
        <v>11362</v>
      </c>
      <c r="D10" s="31" t="n">
        <v>0</v>
      </c>
      <c r="E10" s="32" t="n">
        <v>11362</v>
      </c>
      <c r="F10" s="31" t="n">
        <v>40840</v>
      </c>
      <c r="G10" s="31" t="n">
        <v>4000000</v>
      </c>
      <c r="H10" s="31" t="n">
        <v>5012800</v>
      </c>
      <c r="I10" s="31" t="n">
        <v>4111184</v>
      </c>
      <c r="J10" s="32" t="n">
        <v>13164824</v>
      </c>
      <c r="K10" s="31" t="n">
        <v>-13153462</v>
      </c>
      <c r="L10" s="32" t="n">
        <v>13153462</v>
      </c>
      <c r="M10" s="24" t="inlineStr">
        <is>
          <t>FABRICAR GRANEL</t>
        </is>
      </c>
    </row>
    <row r="11" ht="20" customHeight="1">
      <c r="A11" s="18" t="inlineStr">
        <is>
          <t>B</t>
        </is>
      </c>
      <c r="B11" s="42" t="inlineStr">
        <is>
          <t>BOROCAL</t>
        </is>
      </c>
      <c r="C11" s="22" t="n">
        <v>710</v>
      </c>
      <c r="D11" s="22" t="n">
        <v>93398</v>
      </c>
      <c r="E11" s="23" t="n">
        <v>94108</v>
      </c>
      <c r="F11" s="22" t="n">
        <v>0</v>
      </c>
      <c r="G11" s="22" t="n">
        <v>3040400</v>
      </c>
      <c r="H11" s="22" t="n">
        <v>1052972</v>
      </c>
      <c r="I11" s="22" t="n">
        <v>3000548</v>
      </c>
      <c r="J11" s="23" t="n">
        <v>7093920</v>
      </c>
      <c r="K11" s="22" t="n">
        <v>-6999812</v>
      </c>
      <c r="L11" s="23" t="n">
        <v>6999812</v>
      </c>
      <c r="M11" s="24" t="inlineStr">
        <is>
          <t>FABRICAR GRANEL</t>
        </is>
      </c>
    </row>
    <row r="12" ht="20" customHeight="1">
      <c r="A12" s="25" t="inlineStr">
        <is>
          <t>FLORCR</t>
        </is>
      </c>
      <c r="B12" s="41" t="inlineStr">
        <is>
          <t>FLORAMEC CR</t>
        </is>
      </c>
      <c r="C12" s="31" t="n">
        <v>1800</v>
      </c>
      <c r="D12" s="31" t="n">
        <v>0</v>
      </c>
      <c r="E12" s="32" t="n">
        <v>1800</v>
      </c>
      <c r="F12" s="31" t="n">
        <v>0</v>
      </c>
      <c r="G12" s="31" t="n">
        <v>3000000</v>
      </c>
      <c r="H12" s="31" t="n">
        <v>3001200</v>
      </c>
      <c r="I12" s="31" t="n">
        <v>3584</v>
      </c>
      <c r="J12" s="32" t="n">
        <v>6004784</v>
      </c>
      <c r="K12" s="31" t="n">
        <v>-6002984</v>
      </c>
      <c r="L12" s="32" t="n">
        <v>6002984</v>
      </c>
      <c r="M12" s="24" t="inlineStr">
        <is>
          <t>FABRICAR GRANEL</t>
        </is>
      </c>
    </row>
    <row r="13" ht="20" customHeight="1">
      <c r="A13" s="18" t="inlineStr">
        <is>
          <t>PT</t>
        </is>
      </c>
      <c r="B13" s="42" t="inlineStr">
        <is>
          <t>AGROPOTASION</t>
        </is>
      </c>
      <c r="C13" s="22" t="n">
        <v>1106</v>
      </c>
      <c r="D13" s="22" t="n">
        <v>1222464</v>
      </c>
      <c r="E13" s="23" t="n">
        <v>1223570</v>
      </c>
      <c r="F13" s="22" t="n">
        <v>0</v>
      </c>
      <c r="G13" s="22" t="n">
        <v>4294600</v>
      </c>
      <c r="H13" s="22" t="n">
        <v>213200</v>
      </c>
      <c r="I13" s="22" t="n">
        <v>2009028</v>
      </c>
      <c r="J13" s="23" t="n">
        <v>6516828</v>
      </c>
      <c r="K13" s="22" t="n">
        <v>-5293258</v>
      </c>
      <c r="L13" s="23" t="n">
        <v>5293258</v>
      </c>
      <c r="M13" s="24" t="inlineStr">
        <is>
          <t>FABRICAR GRANEL</t>
        </is>
      </c>
    </row>
    <row r="14" ht="20" customHeight="1">
      <c r="A14" s="25" t="inlineStr">
        <is>
          <t>AGXKC</t>
        </is>
      </c>
      <c r="B14" s="41" t="inlineStr">
        <is>
          <t>AGROXILATO-COMPLET</t>
        </is>
      </c>
      <c r="C14" s="31" t="n">
        <v>887</v>
      </c>
      <c r="D14" s="31" t="n">
        <v>20400</v>
      </c>
      <c r="E14" s="32" t="n">
        <v>21287</v>
      </c>
      <c r="F14" s="31" t="n">
        <v>0</v>
      </c>
      <c r="G14" s="31" t="n">
        <v>0</v>
      </c>
      <c r="H14" s="31" t="n">
        <v>5025600</v>
      </c>
      <c r="I14" s="31" t="n">
        <v>0</v>
      </c>
      <c r="J14" s="32" t="n">
        <v>5025600</v>
      </c>
      <c r="K14" s="31" t="n">
        <v>-5004313</v>
      </c>
      <c r="L14" s="32" t="n">
        <v>5004313</v>
      </c>
      <c r="M14" s="24" t="inlineStr">
        <is>
          <t>FABRICAR GRANEL</t>
        </is>
      </c>
    </row>
    <row r="15" ht="20" customHeight="1">
      <c r="A15" s="18" t="inlineStr">
        <is>
          <t>CPLUS</t>
        </is>
      </c>
      <c r="B15" s="42" t="inlineStr">
        <is>
          <t>CALCIPLUS</t>
        </is>
      </c>
      <c r="C15" s="22" t="n">
        <v>1480</v>
      </c>
      <c r="D15" s="22" t="n">
        <v>1100000</v>
      </c>
      <c r="E15" s="23" t="n">
        <v>1101480</v>
      </c>
      <c r="F15" s="22" t="n">
        <v>0</v>
      </c>
      <c r="G15" s="22" t="n">
        <v>2097600</v>
      </c>
      <c r="H15" s="22" t="n">
        <v>2249600</v>
      </c>
      <c r="I15" s="22" t="n">
        <v>38400</v>
      </c>
      <c r="J15" s="23" t="n">
        <v>4385600</v>
      </c>
      <c r="K15" s="22" t="n">
        <v>-3284120</v>
      </c>
      <c r="L15" s="23" t="n">
        <v>3284120</v>
      </c>
      <c r="M15" s="24" t="inlineStr">
        <is>
          <t>FABRICAR GRANEL</t>
        </is>
      </c>
    </row>
    <row r="16" ht="20" customHeight="1">
      <c r="A16" s="25" t="inlineStr">
        <is>
          <t>CODIR</t>
        </is>
      </c>
      <c r="B16" s="41" t="inlineStr">
        <is>
          <t>CODIRESIST</t>
        </is>
      </c>
      <c r="C16" s="31" t="n">
        <v>200</v>
      </c>
      <c r="D16" s="31" t="n">
        <v>23</v>
      </c>
      <c r="E16" s="32" t="n">
        <v>223</v>
      </c>
      <c r="F16" s="31" t="n">
        <v>0</v>
      </c>
      <c r="G16" s="31" t="n">
        <v>1000000</v>
      </c>
      <c r="H16" s="31" t="n">
        <v>1000000</v>
      </c>
      <c r="I16" s="31" t="n">
        <v>1005584</v>
      </c>
      <c r="J16" s="32" t="n">
        <v>3005584</v>
      </c>
      <c r="K16" s="31" t="n">
        <v>-3005361</v>
      </c>
      <c r="L16" s="32" t="n">
        <v>3005361</v>
      </c>
      <c r="M16" s="24" t="inlineStr">
        <is>
          <t>FABRICAR GRANEL</t>
        </is>
      </c>
    </row>
    <row r="17" ht="20" customHeight="1">
      <c r="A17" s="18" t="inlineStr">
        <is>
          <t>A-50</t>
        </is>
      </c>
      <c r="B17" s="42" t="inlineStr">
        <is>
          <t>CODIORGAN-A50</t>
        </is>
      </c>
      <c r="C17" s="22" t="n">
        <v>156</v>
      </c>
      <c r="D17" s="22" t="n">
        <v>81</v>
      </c>
      <c r="E17" s="23" t="n">
        <v>237</v>
      </c>
      <c r="F17" s="22" t="n">
        <v>0</v>
      </c>
      <c r="G17" s="22" t="n">
        <v>6056</v>
      </c>
      <c r="H17" s="22" t="n">
        <v>25000</v>
      </c>
      <c r="I17" s="22" t="n">
        <v>2011920</v>
      </c>
      <c r="J17" s="23" t="n">
        <v>2042976</v>
      </c>
      <c r="K17" s="22" t="n">
        <v>-2042739</v>
      </c>
      <c r="L17" s="23" t="n">
        <v>2042739</v>
      </c>
      <c r="M17" s="24" t="inlineStr">
        <is>
          <t>FABRICAR GRANEL</t>
        </is>
      </c>
    </row>
    <row r="18" ht="20" customHeight="1">
      <c r="A18" s="25" t="inlineStr">
        <is>
          <t>C-CU</t>
        </is>
      </c>
      <c r="B18" s="41" t="inlineStr">
        <is>
          <t>CODICOBRE</t>
        </is>
      </c>
      <c r="C18" s="31" t="n">
        <v>1342</v>
      </c>
      <c r="D18" s="31" t="n">
        <v>103688</v>
      </c>
      <c r="E18" s="32" t="n">
        <v>105030</v>
      </c>
      <c r="F18" s="31" t="n">
        <v>6400</v>
      </c>
      <c r="G18" s="31" t="n">
        <v>48276</v>
      </c>
      <c r="H18" s="31" t="n">
        <v>2046660</v>
      </c>
      <c r="I18" s="31" t="n">
        <v>10460</v>
      </c>
      <c r="J18" s="32" t="n">
        <v>2111796</v>
      </c>
      <c r="K18" s="31" t="n">
        <v>-2006766</v>
      </c>
      <c r="L18" s="32" t="n">
        <v>2006766</v>
      </c>
      <c r="M18" s="24" t="inlineStr">
        <is>
          <t>FABRICAR GRANEL</t>
        </is>
      </c>
    </row>
    <row r="19" ht="20" customHeight="1">
      <c r="A19" s="18" t="inlineStr">
        <is>
          <t>F-A</t>
        </is>
      </c>
      <c r="B19" s="42" t="inlineStr">
        <is>
          <t>FITOLIN-AGRO</t>
        </is>
      </c>
      <c r="C19" s="22" t="n">
        <v>4000</v>
      </c>
      <c r="D19" s="22" t="n">
        <v>1000000</v>
      </c>
      <c r="E19" s="23" t="n">
        <v>1004000</v>
      </c>
      <c r="F19" s="22" t="n">
        <v>0</v>
      </c>
      <c r="G19" s="22" t="n">
        <v>0</v>
      </c>
      <c r="H19" s="22" t="n">
        <v>1009740</v>
      </c>
      <c r="I19" s="22" t="n">
        <v>1000000</v>
      </c>
      <c r="J19" s="23" t="n">
        <v>2009740</v>
      </c>
      <c r="K19" s="22" t="n">
        <v>-1005740</v>
      </c>
      <c r="L19" s="23" t="n">
        <v>1005740</v>
      </c>
      <c r="M19" s="24" t="inlineStr">
        <is>
          <t>FABRICAR GRANEL</t>
        </is>
      </c>
    </row>
    <row r="20" ht="20" customHeight="1">
      <c r="A20" s="25" t="inlineStr">
        <is>
          <t>FU</t>
        </is>
      </c>
      <c r="B20" s="41" t="inlineStr">
        <is>
          <t>FULVIGIN</t>
        </is>
      </c>
      <c r="C20" s="31" t="n">
        <v>3000</v>
      </c>
      <c r="D20" s="31" t="n">
        <v>21996</v>
      </c>
      <c r="E20" s="32" t="n">
        <v>24996</v>
      </c>
      <c r="F20" s="31" t="n">
        <v>0</v>
      </c>
      <c r="G20" s="31" t="n">
        <v>0</v>
      </c>
      <c r="H20" s="31" t="n">
        <v>500</v>
      </c>
      <c r="I20" s="31" t="n">
        <v>1000000</v>
      </c>
      <c r="J20" s="32" t="n">
        <v>1000500</v>
      </c>
      <c r="K20" s="31" t="n">
        <v>-975504</v>
      </c>
      <c r="L20" s="32" t="n">
        <v>975504</v>
      </c>
      <c r="M20" s="24" t="inlineStr">
        <is>
          <t>FABRICAR GRANEL</t>
        </is>
      </c>
    </row>
    <row r="21" ht="20" customHeight="1">
      <c r="A21" s="18" t="inlineStr">
        <is>
          <t>SSEG</t>
        </is>
      </c>
      <c r="B21" s="42" t="inlineStr">
        <is>
          <t>SALWAX CALCIO EGIPTO</t>
        </is>
      </c>
      <c r="C21" s="22" t="n">
        <v>250</v>
      </c>
      <c r="D21" s="22" t="n">
        <v>3575</v>
      </c>
      <c r="E21" s="23" t="n">
        <v>3825</v>
      </c>
      <c r="F21" s="22" t="n">
        <v>26724</v>
      </c>
      <c r="G21" s="22" t="n">
        <v>105000</v>
      </c>
      <c r="H21" s="22" t="n">
        <v>305000</v>
      </c>
      <c r="I21" s="22" t="n">
        <v>0</v>
      </c>
      <c r="J21" s="23" t="n">
        <v>436724</v>
      </c>
      <c r="K21" s="22" t="n">
        <v>-432899</v>
      </c>
      <c r="L21" s="23" t="n">
        <v>432899</v>
      </c>
      <c r="M21" s="24" t="inlineStr">
        <is>
          <t>FABRICAR GRANEL</t>
        </is>
      </c>
    </row>
    <row r="22" ht="20" customHeight="1">
      <c r="A22" s="25" t="inlineStr">
        <is>
          <t>AVAN</t>
        </is>
      </c>
      <c r="B22" s="41" t="inlineStr">
        <is>
          <t>FLORAMEC AVANCE</t>
        </is>
      </c>
      <c r="C22" s="31" t="n">
        <v>1477</v>
      </c>
      <c r="D22" s="31" t="n">
        <v>24124</v>
      </c>
      <c r="E22" s="32" t="n">
        <v>25601</v>
      </c>
      <c r="F22" s="31" t="n">
        <v>0</v>
      </c>
      <c r="G22" s="31" t="n">
        <v>66800</v>
      </c>
      <c r="H22" s="31" t="n">
        <v>105500</v>
      </c>
      <c r="I22" s="31" t="n">
        <v>71900</v>
      </c>
      <c r="J22" s="32" t="n">
        <v>244200</v>
      </c>
      <c r="K22" s="31" t="n">
        <v>-218599</v>
      </c>
      <c r="L22" s="32" t="n">
        <v>218599</v>
      </c>
      <c r="M22" s="24" t="inlineStr">
        <is>
          <t>FABRICAR GRANEL</t>
        </is>
      </c>
    </row>
    <row r="23" ht="20" customHeight="1">
      <c r="A23" s="18" t="inlineStr">
        <is>
          <t>PIV</t>
        </is>
      </c>
      <c r="B23" s="42" t="inlineStr">
        <is>
          <t>PGRIV</t>
        </is>
      </c>
      <c r="C23" s="22" t="n">
        <v>140</v>
      </c>
      <c r="D23" s="22" t="n">
        <v>37400</v>
      </c>
      <c r="E23" s="23" t="n">
        <v>37540</v>
      </c>
      <c r="F23" s="22" t="n">
        <v>5000</v>
      </c>
      <c r="G23" s="22" t="n">
        <v>102400</v>
      </c>
      <c r="H23" s="22" t="n">
        <v>64000</v>
      </c>
      <c r="I23" s="22" t="n">
        <v>38400</v>
      </c>
      <c r="J23" s="23" t="n">
        <v>209800</v>
      </c>
      <c r="K23" s="22" t="n">
        <v>-172260</v>
      </c>
      <c r="L23" s="23" t="n">
        <v>172260</v>
      </c>
      <c r="M23" s="24" t="inlineStr">
        <is>
          <t>FABRICAR GRANEL</t>
        </is>
      </c>
    </row>
    <row r="24" ht="20" customHeight="1">
      <c r="A24" s="25" t="inlineStr">
        <is>
          <t>SS</t>
        </is>
      </c>
      <c r="B24" s="41" t="inlineStr">
        <is>
          <t>SALWAX-CA</t>
        </is>
      </c>
      <c r="C24" s="31" t="n">
        <v>737</v>
      </c>
      <c r="D24" s="31" t="n">
        <v>207050</v>
      </c>
      <c r="E24" s="32" t="n">
        <v>207787</v>
      </c>
      <c r="F24" s="31" t="n">
        <v>0</v>
      </c>
      <c r="G24" s="31" t="n">
        <v>182312</v>
      </c>
      <c r="H24" s="31" t="n">
        <v>116390</v>
      </c>
      <c r="I24" s="31" t="n">
        <v>58928</v>
      </c>
      <c r="J24" s="32" t="n">
        <v>357630</v>
      </c>
      <c r="K24" s="31" t="n">
        <v>-149843</v>
      </c>
      <c r="L24" s="32" t="n">
        <v>149843</v>
      </c>
      <c r="M24" s="24" t="inlineStr">
        <is>
          <t>FABRICAR GRANEL</t>
        </is>
      </c>
    </row>
    <row r="25" ht="20" customHeight="1">
      <c r="A25" s="18" t="inlineStr">
        <is>
          <t>A-50(2)</t>
        </is>
      </c>
      <c r="B25" s="42" t="inlineStr">
        <is>
          <t>CODIORGAN-A50</t>
        </is>
      </c>
      <c r="C25" s="22" t="n">
        <v>33</v>
      </c>
      <c r="D25" s="22" t="n">
        <v>22025</v>
      </c>
      <c r="E25" s="23" t="n">
        <v>22058</v>
      </c>
      <c r="F25" s="22" t="n">
        <v>3250</v>
      </c>
      <c r="G25" s="22" t="n">
        <v>41000</v>
      </c>
      <c r="H25" s="22" t="n">
        <v>7550</v>
      </c>
      <c r="I25" s="22" t="n">
        <v>23625</v>
      </c>
      <c r="J25" s="23" t="n">
        <v>75425</v>
      </c>
      <c r="K25" s="22" t="n">
        <v>-53367</v>
      </c>
      <c r="L25" s="23" t="n">
        <v>53367</v>
      </c>
      <c r="M25" s="24" t="inlineStr">
        <is>
          <t>FABRICAR GRANEL</t>
        </is>
      </c>
    </row>
    <row r="26" ht="20" customHeight="1">
      <c r="A26" s="25" t="inlineStr">
        <is>
          <t>C-L</t>
        </is>
      </c>
      <c r="B26" s="41" t="inlineStr">
        <is>
          <t>CODIBOR-L</t>
        </is>
      </c>
      <c r="C26" s="31" t="n">
        <v>3193.2328</v>
      </c>
      <c r="D26" s="31" t="n">
        <v>10460</v>
      </c>
      <c r="E26" s="32" t="n">
        <v>13653.2328</v>
      </c>
      <c r="F26" s="31" t="n">
        <v>7900</v>
      </c>
      <c r="G26" s="31" t="n">
        <v>1792</v>
      </c>
      <c r="H26" s="31" t="n">
        <v>1300</v>
      </c>
      <c r="I26" s="31" t="n">
        <v>55000</v>
      </c>
      <c r="J26" s="32" t="n">
        <v>65992</v>
      </c>
      <c r="K26" s="31" t="n">
        <v>-52338.7672</v>
      </c>
      <c r="L26" s="32" t="n">
        <v>52338.7672</v>
      </c>
      <c r="M26" s="24" t="inlineStr">
        <is>
          <t>FABRICAR GRANEL</t>
        </is>
      </c>
    </row>
    <row r="27" ht="20" customHeight="1">
      <c r="A27" s="18" t="inlineStr">
        <is>
          <t>AGMG</t>
        </is>
      </c>
      <c r="B27" s="42" t="inlineStr">
        <is>
          <t>AGROXILATO-MG (EXPORT)</t>
        </is>
      </c>
      <c r="C27" s="22" t="n">
        <v>152</v>
      </c>
      <c r="D27" s="22" t="n">
        <v>0</v>
      </c>
      <c r="E27" s="23" t="n">
        <v>152</v>
      </c>
      <c r="F27" s="22" t="n">
        <v>0</v>
      </c>
      <c r="G27" s="22" t="n">
        <v>3028</v>
      </c>
      <c r="H27" s="22" t="n">
        <v>16000</v>
      </c>
      <c r="I27" s="22" t="n">
        <v>27500</v>
      </c>
      <c r="J27" s="23" t="n">
        <v>46528</v>
      </c>
      <c r="K27" s="22" t="n">
        <v>-46376</v>
      </c>
      <c r="L27" s="23" t="n">
        <v>46376</v>
      </c>
      <c r="M27" s="24" t="inlineStr">
        <is>
          <t>FABRICAR GRANEL</t>
        </is>
      </c>
    </row>
    <row r="28" ht="20" customHeight="1">
      <c r="A28" s="25" t="inlineStr">
        <is>
          <t>CBROT</t>
        </is>
      </c>
      <c r="B28" s="41" t="inlineStr">
        <is>
          <t>CODIBROT</t>
        </is>
      </c>
      <c r="C28" s="31" t="n">
        <v>400</v>
      </c>
      <c r="D28" s="31" t="n">
        <v>16024</v>
      </c>
      <c r="E28" s="32" t="n">
        <v>16424</v>
      </c>
      <c r="F28" s="31" t="n">
        <v>0</v>
      </c>
      <c r="G28" s="31" t="n">
        <v>0</v>
      </c>
      <c r="H28" s="31" t="n">
        <v>0</v>
      </c>
      <c r="I28" s="31" t="n">
        <v>60000</v>
      </c>
      <c r="J28" s="32" t="n">
        <v>60000</v>
      </c>
      <c r="K28" s="31" t="n">
        <v>-43576</v>
      </c>
      <c r="L28" s="32" t="n">
        <v>43576</v>
      </c>
      <c r="M28" s="24" t="inlineStr">
        <is>
          <t>FABRICAR GRANEL</t>
        </is>
      </c>
    </row>
    <row r="29" ht="20" customHeight="1">
      <c r="A29" s="18" t="inlineStr">
        <is>
          <t>HST</t>
        </is>
      </c>
      <c r="B29" s="42" t="inlineStr">
        <is>
          <t>HIDROSTRESS-40</t>
        </is>
      </c>
      <c r="C29" s="22" t="n">
        <v>1600</v>
      </c>
      <c r="D29" s="22" t="n">
        <v>9056</v>
      </c>
      <c r="E29" s="23" t="n">
        <v>10656</v>
      </c>
      <c r="F29" s="22" t="n">
        <v>0</v>
      </c>
      <c r="G29" s="22" t="n">
        <v>25800</v>
      </c>
      <c r="H29" s="22" t="n">
        <v>25800</v>
      </c>
      <c r="I29" s="22" t="n">
        <v>700</v>
      </c>
      <c r="J29" s="23" t="n">
        <v>52300</v>
      </c>
      <c r="K29" s="22" t="n">
        <v>-41644</v>
      </c>
      <c r="L29" s="23" t="n">
        <v>41644</v>
      </c>
      <c r="M29" s="24" t="inlineStr">
        <is>
          <t>FABRICAR GRANEL</t>
        </is>
      </c>
    </row>
    <row r="30" ht="20" customHeight="1">
      <c r="A30" s="25" t="inlineStr">
        <is>
          <t>FLOR</t>
        </is>
      </c>
      <c r="B30" s="41" t="inlineStr">
        <is>
          <t>FLORAMEC</t>
        </is>
      </c>
      <c r="C30" s="31" t="n">
        <v>1537</v>
      </c>
      <c r="D30" s="31" t="n">
        <v>2812</v>
      </c>
      <c r="E30" s="32" t="n">
        <v>4349</v>
      </c>
      <c r="F30" s="31" t="n">
        <v>0</v>
      </c>
      <c r="G30" s="31" t="n">
        <v>40000</v>
      </c>
      <c r="H30" s="31" t="n">
        <v>1100</v>
      </c>
      <c r="I30" s="31" t="n">
        <v>0</v>
      </c>
      <c r="J30" s="32" t="n">
        <v>41100</v>
      </c>
      <c r="K30" s="31" t="n">
        <v>-36751</v>
      </c>
      <c r="L30" s="32" t="n">
        <v>36751</v>
      </c>
      <c r="M30" s="24" t="inlineStr">
        <is>
          <t>FABRICAR GRANEL</t>
        </is>
      </c>
    </row>
    <row r="31" ht="20" customHeight="1">
      <c r="A31" s="18" t="inlineStr">
        <is>
          <t>FROST-P</t>
        </is>
      </c>
      <c r="B31" s="42" t="inlineStr">
        <is>
          <t>CODIFROST PLUS</t>
        </is>
      </c>
      <c r="C31" s="22" t="n">
        <v>300</v>
      </c>
      <c r="D31" s="22" t="n">
        <v>8000</v>
      </c>
      <c r="E31" s="23" t="n">
        <v>8300</v>
      </c>
      <c r="F31" s="22" t="n">
        <v>0</v>
      </c>
      <c r="G31" s="22" t="n">
        <v>0</v>
      </c>
      <c r="H31" s="22" t="n">
        <v>31600</v>
      </c>
      <c r="I31" s="22" t="n">
        <v>4000</v>
      </c>
      <c r="J31" s="23" t="n">
        <v>35600</v>
      </c>
      <c r="K31" s="22" t="n">
        <v>-27300</v>
      </c>
      <c r="L31" s="23" t="n">
        <v>27300</v>
      </c>
      <c r="M31" s="24" t="inlineStr">
        <is>
          <t>FABRICAR GRANEL</t>
        </is>
      </c>
    </row>
    <row r="32" ht="20" customHeight="1">
      <c r="A32" s="25" t="inlineStr">
        <is>
          <t>DECA</t>
        </is>
      </c>
      <c r="B32" s="41" t="inlineStr">
        <is>
          <t>DEFENS-CA-AE</t>
        </is>
      </c>
      <c r="C32" s="31" t="n">
        <v>1140</v>
      </c>
      <c r="D32" s="31" t="n">
        <v>50</v>
      </c>
      <c r="E32" s="32" t="n">
        <v>1190</v>
      </c>
      <c r="F32" s="31" t="n">
        <v>0</v>
      </c>
      <c r="G32" s="31" t="n">
        <v>5500</v>
      </c>
      <c r="H32" s="31" t="n">
        <v>5500</v>
      </c>
      <c r="I32" s="31" t="n">
        <v>5500</v>
      </c>
      <c r="J32" s="32" t="n">
        <v>16500</v>
      </c>
      <c r="K32" s="31" t="n">
        <v>-15310</v>
      </c>
      <c r="L32" s="32" t="n">
        <v>15310</v>
      </c>
      <c r="M32" s="24" t="inlineStr">
        <is>
          <t>FABRICAR GRANEL</t>
        </is>
      </c>
    </row>
    <row r="33" ht="20" customHeight="1">
      <c r="A33" s="18" t="inlineStr">
        <is>
          <t>G3</t>
        </is>
      </c>
      <c r="B33" s="42" t="inlineStr">
        <is>
          <t>GREEN-UP</t>
        </is>
      </c>
      <c r="C33" s="22" t="n">
        <v>1300</v>
      </c>
      <c r="D33" s="22" t="n">
        <v>36400</v>
      </c>
      <c r="E33" s="23" t="n">
        <v>37700</v>
      </c>
      <c r="F33" s="22" t="n">
        <v>240</v>
      </c>
      <c r="G33" s="22" t="n">
        <v>25600</v>
      </c>
      <c r="H33" s="22" t="n">
        <v>25600</v>
      </c>
      <c r="I33" s="22" t="n">
        <v>1200</v>
      </c>
      <c r="J33" s="23" t="n">
        <v>52640</v>
      </c>
      <c r="K33" s="22" t="n">
        <v>-14940</v>
      </c>
      <c r="L33" s="23" t="n">
        <v>14940</v>
      </c>
      <c r="M33" s="24" t="inlineStr">
        <is>
          <t>FABRICAR GRANEL</t>
        </is>
      </c>
    </row>
    <row r="34" ht="20" customHeight="1">
      <c r="A34" s="25" t="inlineStr">
        <is>
          <t>PREZN</t>
        </is>
      </c>
      <c r="B34" s="41" t="inlineStr">
        <is>
          <t>PREZINC</t>
        </is>
      </c>
      <c r="C34" s="31" t="n">
        <v>100</v>
      </c>
      <c r="D34" s="31" t="n">
        <v>800</v>
      </c>
      <c r="E34" s="32" t="n">
        <v>900</v>
      </c>
      <c r="F34" s="31" t="n">
        <v>0</v>
      </c>
      <c r="G34" s="31" t="n">
        <v>0</v>
      </c>
      <c r="H34" s="31" t="n">
        <v>0</v>
      </c>
      <c r="I34" s="31" t="n">
        <v>15000</v>
      </c>
      <c r="J34" s="32" t="n">
        <v>15000</v>
      </c>
      <c r="K34" s="31" t="n">
        <v>-14100</v>
      </c>
      <c r="L34" s="32" t="n">
        <v>14100</v>
      </c>
      <c r="M34" s="24" t="inlineStr">
        <is>
          <t>FABRICAR GRANEL</t>
        </is>
      </c>
    </row>
    <row r="35" ht="20" customHeight="1">
      <c r="A35" s="18" t="inlineStr">
        <is>
          <t>PK50</t>
        </is>
      </c>
      <c r="B35" s="42" t="inlineStr">
        <is>
          <t>POLIFRUIT K50</t>
        </is>
      </c>
      <c r="C35" s="22" t="n">
        <v>2150</v>
      </c>
      <c r="D35" s="22" t="n">
        <v>0</v>
      </c>
      <c r="E35" s="23" t="n">
        <v>2150</v>
      </c>
      <c r="F35" s="22" t="n">
        <v>0</v>
      </c>
      <c r="G35" s="22" t="n">
        <v>0</v>
      </c>
      <c r="H35" s="22" t="n">
        <v>13100</v>
      </c>
      <c r="I35" s="22" t="n">
        <v>0</v>
      </c>
      <c r="J35" s="23" t="n">
        <v>13100</v>
      </c>
      <c r="K35" s="22" t="n">
        <v>-10950</v>
      </c>
      <c r="L35" s="23" t="n">
        <v>10950</v>
      </c>
      <c r="M35" s="24" t="inlineStr">
        <is>
          <t>FABRICAR GRANEL</t>
        </is>
      </c>
    </row>
    <row r="36" ht="20" customHeight="1">
      <c r="A36" s="25" t="inlineStr">
        <is>
          <t>GRE2</t>
        </is>
      </c>
      <c r="B36" s="41" t="inlineStr">
        <is>
          <t>EGERSIS</t>
        </is>
      </c>
      <c r="C36" s="31" t="n">
        <v>50</v>
      </c>
      <c r="D36" s="31" t="n">
        <v>0</v>
      </c>
      <c r="E36" s="32" t="n">
        <v>50</v>
      </c>
      <c r="F36" s="31" t="n">
        <v>0</v>
      </c>
      <c r="G36" s="31" t="n">
        <v>0</v>
      </c>
      <c r="H36" s="31" t="n">
        <v>0</v>
      </c>
      <c r="I36" s="31" t="n">
        <v>10000</v>
      </c>
      <c r="J36" s="32" t="n">
        <v>10000</v>
      </c>
      <c r="K36" s="31" t="n">
        <v>-9950</v>
      </c>
      <c r="L36" s="32" t="n">
        <v>9950</v>
      </c>
      <c r="M36" s="24" t="inlineStr">
        <is>
          <t>FABRICAR GRANEL</t>
        </is>
      </c>
    </row>
    <row r="37" ht="20" customHeight="1">
      <c r="A37" s="18" t="inlineStr">
        <is>
          <t>AMIMG</t>
        </is>
      </c>
      <c r="B37" s="42" t="inlineStr">
        <is>
          <t>AMINOSOIL-MG</t>
        </is>
      </c>
      <c r="C37" s="22" t="n">
        <v>540</v>
      </c>
      <c r="D37" s="22" t="n">
        <v>8700</v>
      </c>
      <c r="E37" s="23" t="n">
        <v>9240</v>
      </c>
      <c r="F37" s="22" t="n">
        <v>0</v>
      </c>
      <c r="G37" s="22" t="n">
        <v>0</v>
      </c>
      <c r="H37" s="22" t="n">
        <v>12800</v>
      </c>
      <c r="I37" s="22" t="n">
        <v>6000</v>
      </c>
      <c r="J37" s="23" t="n">
        <v>18800</v>
      </c>
      <c r="K37" s="22" t="n">
        <v>-9560</v>
      </c>
      <c r="L37" s="23" t="n">
        <v>9560</v>
      </c>
      <c r="M37" s="24" t="inlineStr">
        <is>
          <t>FABRICAR GRANEL</t>
        </is>
      </c>
    </row>
    <row r="38" ht="20" customHeight="1">
      <c r="A38" s="25" t="inlineStr">
        <is>
          <t>AGZN</t>
        </is>
      </c>
      <c r="B38" s="41" t="inlineStr">
        <is>
          <t>AGROXILATO-ZN 16% (EXPORT)</t>
        </is>
      </c>
      <c r="C38" s="31" t="n">
        <v>35</v>
      </c>
      <c r="D38" s="31" t="n">
        <v>0</v>
      </c>
      <c r="E38" s="32" t="n">
        <v>35</v>
      </c>
      <c r="F38" s="31" t="n">
        <v>0</v>
      </c>
      <c r="G38" s="31" t="n">
        <v>5000</v>
      </c>
      <c r="H38" s="31" t="n">
        <v>1056</v>
      </c>
      <c r="I38" s="31" t="n">
        <v>2500</v>
      </c>
      <c r="J38" s="32" t="n">
        <v>8556</v>
      </c>
      <c r="K38" s="31" t="n">
        <v>-8521</v>
      </c>
      <c r="L38" s="32" t="n">
        <v>8521</v>
      </c>
      <c r="M38" s="24" t="inlineStr">
        <is>
          <t>FABRICAR GRANEL</t>
        </is>
      </c>
    </row>
    <row r="39" ht="20" customHeight="1">
      <c r="A39" s="18" t="inlineStr">
        <is>
          <t>GRE1</t>
        </is>
      </c>
      <c r="B39" s="42" t="inlineStr">
        <is>
          <t>TONAZ</t>
        </is>
      </c>
      <c r="C39" s="22" t="n">
        <v>205</v>
      </c>
      <c r="D39" s="22" t="n">
        <v>0</v>
      </c>
      <c r="E39" s="23" t="n">
        <v>205</v>
      </c>
      <c r="F39" s="22" t="n">
        <v>0</v>
      </c>
      <c r="G39" s="22" t="n">
        <v>0</v>
      </c>
      <c r="H39" s="22" t="n">
        <v>0</v>
      </c>
      <c r="I39" s="22" t="n">
        <v>8000</v>
      </c>
      <c r="J39" s="23" t="n">
        <v>8000</v>
      </c>
      <c r="K39" s="22" t="n">
        <v>-7795</v>
      </c>
      <c r="L39" s="23" t="n">
        <v>7795</v>
      </c>
      <c r="M39" s="24" t="inlineStr">
        <is>
          <t>FABRICAR GRANEL</t>
        </is>
      </c>
    </row>
    <row r="40" ht="20" customHeight="1">
      <c r="A40" s="25" t="inlineStr">
        <is>
          <t>C-CU2</t>
        </is>
      </c>
      <c r="B40" s="41" t="inlineStr">
        <is>
          <t>CODICOBRE (EGIPTO)</t>
        </is>
      </c>
      <c r="C40" s="31" t="n">
        <v>620</v>
      </c>
      <c r="D40" s="31" t="n">
        <v>0</v>
      </c>
      <c r="E40" s="32" t="n">
        <v>620</v>
      </c>
      <c r="F40" s="31" t="n">
        <v>0</v>
      </c>
      <c r="G40" s="31" t="n">
        <v>0</v>
      </c>
      <c r="H40" s="31" t="n">
        <v>7920</v>
      </c>
      <c r="I40" s="31" t="n">
        <v>0</v>
      </c>
      <c r="J40" s="32" t="n">
        <v>7920</v>
      </c>
      <c r="K40" s="31" t="n">
        <v>-7300</v>
      </c>
      <c r="L40" s="32" t="n">
        <v>7300</v>
      </c>
      <c r="M40" s="24" t="inlineStr">
        <is>
          <t>FABRICAR GRANEL</t>
        </is>
      </c>
    </row>
    <row r="41" ht="20" customHeight="1">
      <c r="A41" s="18" t="inlineStr">
        <is>
          <t>SPCE2B</t>
        </is>
      </c>
      <c r="B41" s="42" t="inlineStr">
        <is>
          <t>SPRINTENE CON BORO</t>
        </is>
      </c>
      <c r="C41" s="22" t="n">
        <v>940</v>
      </c>
      <c r="D41" s="22" t="n">
        <v>34568</v>
      </c>
      <c r="E41" s="23" t="n">
        <v>35508</v>
      </c>
      <c r="F41" s="22" t="n">
        <v>0</v>
      </c>
      <c r="G41" s="22" t="n">
        <v>30600</v>
      </c>
      <c r="H41" s="22" t="n">
        <v>10360</v>
      </c>
      <c r="I41" s="22" t="n">
        <v>0</v>
      </c>
      <c r="J41" s="23" t="n">
        <v>40960</v>
      </c>
      <c r="K41" s="22" t="n">
        <v>-5452</v>
      </c>
      <c r="L41" s="23" t="n">
        <v>5452</v>
      </c>
      <c r="M41" s="24" t="inlineStr">
        <is>
          <t>FABRICAR GRANEL</t>
        </is>
      </c>
    </row>
    <row r="42" ht="20" customHeight="1">
      <c r="A42" s="25" t="inlineStr">
        <is>
          <t>CM3</t>
        </is>
      </c>
      <c r="B42" s="41" t="inlineStr">
        <is>
          <t>TENSOLINE</t>
        </is>
      </c>
      <c r="C42" s="31" t="n">
        <v>130</v>
      </c>
      <c r="D42" s="31" t="n">
        <v>0</v>
      </c>
      <c r="E42" s="32" t="n">
        <v>130</v>
      </c>
      <c r="F42" s="31" t="n">
        <v>0</v>
      </c>
      <c r="G42" s="31" t="n">
        <v>0</v>
      </c>
      <c r="H42" s="31" t="n">
        <v>0</v>
      </c>
      <c r="I42" s="31" t="n">
        <v>5000</v>
      </c>
      <c r="J42" s="32" t="n">
        <v>5000</v>
      </c>
      <c r="K42" s="31" t="n">
        <v>-4870</v>
      </c>
      <c r="L42" s="32" t="n">
        <v>4870</v>
      </c>
      <c r="M42" s="24" t="inlineStr">
        <is>
          <t>FABRICAR GRANEL</t>
        </is>
      </c>
    </row>
    <row r="43" ht="20" customHeight="1">
      <c r="A43" s="18" t="inlineStr">
        <is>
          <t>LP</t>
        </is>
      </c>
      <c r="B43" s="42" t="inlineStr">
        <is>
          <t>LAVAPLANT GRANEL</t>
        </is>
      </c>
      <c r="C43" s="22" t="n">
        <v>300</v>
      </c>
      <c r="D43" s="22" t="n">
        <v>0</v>
      </c>
      <c r="E43" s="23" t="n">
        <v>300</v>
      </c>
      <c r="F43" s="22" t="n">
        <v>0</v>
      </c>
      <c r="G43" s="22" t="n">
        <v>0</v>
      </c>
      <c r="H43" s="22" t="n">
        <v>4500</v>
      </c>
      <c r="I43" s="22" t="n">
        <v>0</v>
      </c>
      <c r="J43" s="23" t="n">
        <v>4500</v>
      </c>
      <c r="K43" s="22" t="n">
        <v>-4200</v>
      </c>
      <c r="L43" s="23" t="n">
        <v>4200</v>
      </c>
      <c r="M43" s="24" t="inlineStr">
        <is>
          <t>FABRICAR GRANEL</t>
        </is>
      </c>
    </row>
    <row r="44" ht="20" customHeight="1">
      <c r="A44" s="25" t="inlineStr">
        <is>
          <t>PHD00</t>
        </is>
      </c>
      <c r="B44" s="41" t="inlineStr">
        <is>
          <t>PH DOWNER, GRANEL</t>
        </is>
      </c>
      <c r="C44" s="31" t="n">
        <v>600</v>
      </c>
      <c r="D44" s="31" t="n">
        <v>28644</v>
      </c>
      <c r="E44" s="32" t="n">
        <v>29244</v>
      </c>
      <c r="F44" s="31" t="n">
        <v>0</v>
      </c>
      <c r="G44" s="31" t="n">
        <v>20000</v>
      </c>
      <c r="H44" s="31" t="n">
        <v>500</v>
      </c>
      <c r="I44" s="31" t="n">
        <v>12800</v>
      </c>
      <c r="J44" s="32" t="n">
        <v>33300</v>
      </c>
      <c r="K44" s="31" t="n">
        <v>-4056</v>
      </c>
      <c r="L44" s="32" t="n">
        <v>4056</v>
      </c>
      <c r="M44" s="24" t="inlineStr">
        <is>
          <t>FABRICAR GRANEL</t>
        </is>
      </c>
    </row>
    <row r="45" ht="20" customHeight="1">
      <c r="A45" s="18" t="inlineStr">
        <is>
          <t>RUN</t>
        </is>
      </c>
      <c r="B45" s="42" t="inlineStr">
        <is>
          <t>RUN STRESS</t>
        </is>
      </c>
      <c r="C45" s="22" t="n">
        <v>132</v>
      </c>
      <c r="D45" s="22" t="n">
        <v>3206</v>
      </c>
      <c r="E45" s="23" t="n">
        <v>3338</v>
      </c>
      <c r="F45" s="22" t="n">
        <v>0</v>
      </c>
      <c r="G45" s="22" t="n">
        <v>0</v>
      </c>
      <c r="H45" s="22" t="n">
        <v>0</v>
      </c>
      <c r="I45" s="22" t="n">
        <v>6920</v>
      </c>
      <c r="J45" s="23" t="n">
        <v>6920</v>
      </c>
      <c r="K45" s="22" t="n">
        <v>-3582</v>
      </c>
      <c r="L45" s="23" t="n">
        <v>3582</v>
      </c>
      <c r="M45" s="24" t="inlineStr">
        <is>
          <t>FABRICAR GRANEL</t>
        </is>
      </c>
    </row>
    <row r="46" ht="20" customHeight="1">
      <c r="A46" s="25" t="inlineStr">
        <is>
          <t>BROTA</t>
        </is>
      </c>
      <c r="B46" s="41" t="inlineStr">
        <is>
          <t>BROTAMEC</t>
        </is>
      </c>
      <c r="C46" s="31" t="n">
        <v>100</v>
      </c>
      <c r="D46" s="31" t="n">
        <v>53548</v>
      </c>
      <c r="E46" s="32" t="n">
        <v>53648</v>
      </c>
      <c r="F46" s="31" t="n">
        <v>0</v>
      </c>
      <c r="G46" s="31" t="n">
        <v>30100</v>
      </c>
      <c r="H46" s="31" t="n">
        <v>3500</v>
      </c>
      <c r="I46" s="31" t="n">
        <v>22700</v>
      </c>
      <c r="J46" s="32" t="n">
        <v>56300</v>
      </c>
      <c r="K46" s="31" t="n">
        <v>-2652</v>
      </c>
      <c r="L46" s="32" t="n">
        <v>2652</v>
      </c>
      <c r="M46" s="24" t="inlineStr">
        <is>
          <t>FABRICAR GRANEL</t>
        </is>
      </c>
    </row>
    <row r="47" ht="20" customHeight="1">
      <c r="A47" s="18" t="inlineStr">
        <is>
          <t>SPCE2</t>
        </is>
      </c>
      <c r="B47" s="42" t="inlineStr">
        <is>
          <t>SPRINTENE ABONO CE EXPORTACIÓN</t>
        </is>
      </c>
      <c r="C47" s="22" t="n">
        <v>1984</v>
      </c>
      <c r="D47" s="22" t="n">
        <v>0</v>
      </c>
      <c r="E47" s="23" t="n">
        <v>1984</v>
      </c>
      <c r="F47" s="22" t="n">
        <v>0</v>
      </c>
      <c r="G47" s="22" t="n">
        <v>2000</v>
      </c>
      <c r="H47" s="22" t="n">
        <v>2500</v>
      </c>
      <c r="I47" s="22" t="n">
        <v>0</v>
      </c>
      <c r="J47" s="23" t="n">
        <v>4500</v>
      </c>
      <c r="K47" s="22" t="n">
        <v>-2516</v>
      </c>
      <c r="L47" s="23" t="n">
        <v>2516</v>
      </c>
      <c r="M47" s="24" t="inlineStr">
        <is>
          <t>FABRICAR GRANEL</t>
        </is>
      </c>
    </row>
    <row r="48" ht="20" customHeight="1">
      <c r="A48" s="25" t="inlineStr">
        <is>
          <t>CM3M</t>
        </is>
      </c>
      <c r="B48" s="41" t="inlineStr">
        <is>
          <t>TENSOLINE-MAX</t>
        </is>
      </c>
      <c r="C48" s="31" t="n">
        <v>480</v>
      </c>
      <c r="D48" s="31" t="n">
        <v>0</v>
      </c>
      <c r="E48" s="32" t="n">
        <v>480</v>
      </c>
      <c r="F48" s="31" t="n">
        <v>0</v>
      </c>
      <c r="G48" s="31" t="n">
        <v>0</v>
      </c>
      <c r="H48" s="31" t="n">
        <v>0</v>
      </c>
      <c r="I48" s="31" t="n">
        <v>2000</v>
      </c>
      <c r="J48" s="32" t="n">
        <v>2000</v>
      </c>
      <c r="K48" s="31" t="n">
        <v>-1520</v>
      </c>
      <c r="L48" s="32" t="n">
        <v>1520</v>
      </c>
      <c r="M48" s="24" t="inlineStr">
        <is>
          <t>FABRICAR GRANEL</t>
        </is>
      </c>
    </row>
    <row r="49" ht="20" customHeight="1">
      <c r="A49" s="18" t="inlineStr">
        <is>
          <t>AGZNP</t>
        </is>
      </c>
      <c r="B49" s="42" t="inlineStr">
        <is>
          <t>AGROXILATO-ZN PLUS</t>
        </is>
      </c>
      <c r="C49" s="22" t="n">
        <v>185</v>
      </c>
      <c r="D49" s="22" t="n">
        <v>5128</v>
      </c>
      <c r="E49" s="23" t="n">
        <v>5313</v>
      </c>
      <c r="F49" s="22" t="n">
        <v>0</v>
      </c>
      <c r="G49" s="22" t="n">
        <v>2000</v>
      </c>
      <c r="H49" s="22" t="n">
        <v>0</v>
      </c>
      <c r="I49" s="22" t="n">
        <v>4750</v>
      </c>
      <c r="J49" s="23" t="n">
        <v>6750</v>
      </c>
      <c r="K49" s="22" t="n">
        <v>-1437</v>
      </c>
      <c r="L49" s="23" t="n">
        <v>1437</v>
      </c>
      <c r="M49" s="24" t="inlineStr">
        <is>
          <t>FABRICAR GRANEL</t>
        </is>
      </c>
    </row>
    <row r="50" ht="20" customHeight="1">
      <c r="A50" s="25" t="inlineStr">
        <is>
          <t>START2</t>
        </is>
      </c>
      <c r="B50" s="41" t="inlineStr">
        <is>
          <t>RADISOL STARTER</t>
        </is>
      </c>
      <c r="C50" s="31" t="n">
        <v>614</v>
      </c>
      <c r="D50" s="31" t="n">
        <v>0</v>
      </c>
      <c r="E50" s="32" t="n">
        <v>614</v>
      </c>
      <c r="F50" s="31" t="n">
        <v>0</v>
      </c>
      <c r="G50" s="31" t="n">
        <v>0</v>
      </c>
      <c r="H50" s="31" t="n">
        <v>2000</v>
      </c>
      <c r="I50" s="31" t="n">
        <v>0</v>
      </c>
      <c r="J50" s="32" t="n">
        <v>2000</v>
      </c>
      <c r="K50" s="31" t="n">
        <v>-1386</v>
      </c>
      <c r="L50" s="32" t="n">
        <v>1386</v>
      </c>
      <c r="M50" s="24" t="inlineStr">
        <is>
          <t>FABRICAR GRANEL</t>
        </is>
      </c>
    </row>
    <row r="51" ht="20" customHeight="1">
      <c r="A51" s="18" t="inlineStr">
        <is>
          <t>TRI</t>
        </is>
      </c>
      <c r="B51" s="42" t="inlineStr">
        <is>
          <t>TRIFENO-94</t>
        </is>
      </c>
      <c r="C51" s="22" t="n">
        <v>1750</v>
      </c>
      <c r="D51" s="22" t="n">
        <v>4792</v>
      </c>
      <c r="E51" s="23" t="n">
        <v>6542</v>
      </c>
      <c r="F51" s="22" t="n">
        <v>100</v>
      </c>
      <c r="G51" s="22" t="n">
        <v>2400</v>
      </c>
      <c r="H51" s="22" t="n">
        <v>2000</v>
      </c>
      <c r="I51" s="22" t="n">
        <v>2416</v>
      </c>
      <c r="J51" s="23" t="n">
        <v>6916</v>
      </c>
      <c r="K51" s="22" t="n">
        <v>-374</v>
      </c>
      <c r="L51" s="23" t="n">
        <v>374</v>
      </c>
      <c r="M51" s="24" t="inlineStr">
        <is>
          <t>FABRICAR GRANEL</t>
        </is>
      </c>
    </row>
    <row r="52" ht="20" customHeight="1">
      <c r="A52" s="25" t="inlineStr">
        <is>
          <t>N</t>
        </is>
      </c>
      <c r="B52" s="41" t="inlineStr">
        <is>
          <t>NUTRICALE</t>
        </is>
      </c>
      <c r="C52" s="31" t="n">
        <v>1050</v>
      </c>
      <c r="D52" s="31" t="n">
        <v>61732</v>
      </c>
      <c r="E52" s="32" t="n">
        <v>62782</v>
      </c>
      <c r="F52" s="31" t="n">
        <v>0</v>
      </c>
      <c r="G52" s="31" t="n">
        <v>25600</v>
      </c>
      <c r="H52" s="31" t="n">
        <v>25600</v>
      </c>
      <c r="I52" s="31" t="n">
        <v>0</v>
      </c>
      <c r="J52" s="32" t="n">
        <v>51200</v>
      </c>
      <c r="K52" s="31" t="n">
        <v>11582</v>
      </c>
      <c r="L52" s="32" t="n">
        <v>0</v>
      </c>
      <c r="M52" s="36" t="inlineStr">
        <is>
          <t>CUBIERTO</t>
        </is>
      </c>
    </row>
    <row r="53" ht="20" customHeight="1">
      <c r="A53" s="18" t="inlineStr">
        <is>
          <t>CALCIO</t>
        </is>
      </c>
      <c r="B53" s="42" t="inlineStr">
        <is>
          <t>CALCIAMEC</t>
        </is>
      </c>
      <c r="C53" s="22" t="n">
        <v>33</v>
      </c>
      <c r="D53" s="22" t="n">
        <v>72350</v>
      </c>
      <c r="E53" s="23" t="n">
        <v>72383</v>
      </c>
      <c r="F53" s="22" t="n">
        <v>0</v>
      </c>
      <c r="G53" s="22" t="n">
        <v>4125</v>
      </c>
      <c r="H53" s="22" t="n">
        <v>24250</v>
      </c>
      <c r="I53" s="22" t="n">
        <v>8750</v>
      </c>
      <c r="J53" s="23" t="n">
        <v>37125</v>
      </c>
      <c r="K53" s="22" t="n">
        <v>35258</v>
      </c>
      <c r="L53" s="23" t="n">
        <v>0</v>
      </c>
      <c r="M53" s="36" t="inlineStr">
        <is>
          <t>CUBIERTO</t>
        </is>
      </c>
    </row>
    <row r="54" ht="20" customHeight="1">
      <c r="A54" s="25" t="inlineStr">
        <is>
          <t>C-MB</t>
        </is>
      </c>
      <c r="B54" s="41" t="inlineStr">
        <is>
          <t>CODIFOL-MB</t>
        </is>
      </c>
      <c r="C54" s="31" t="n">
        <v>1500</v>
      </c>
      <c r="D54" s="31" t="n">
        <v>31684</v>
      </c>
      <c r="E54" s="32" t="n">
        <v>33184</v>
      </c>
      <c r="F54" s="31" t="n">
        <v>0</v>
      </c>
      <c r="G54" s="31" t="n">
        <v>4000</v>
      </c>
      <c r="H54" s="31" t="n">
        <v>0</v>
      </c>
      <c r="I54" s="31" t="n">
        <v>4000</v>
      </c>
      <c r="J54" s="32" t="n">
        <v>8000</v>
      </c>
      <c r="K54" s="31" t="n">
        <v>25184</v>
      </c>
      <c r="L54" s="32" t="n">
        <v>0</v>
      </c>
      <c r="M54" s="36" t="inlineStr">
        <is>
          <t>CUBIERTO</t>
        </is>
      </c>
    </row>
    <row r="55" ht="20" customHeight="1">
      <c r="A55" s="18" t="inlineStr">
        <is>
          <t>AQUOM</t>
        </is>
      </c>
      <c r="B55" s="42" t="inlineStr">
        <is>
          <t>AQUOM</t>
        </is>
      </c>
      <c r="C55" s="22" t="n">
        <v>2550</v>
      </c>
      <c r="D55" s="22" t="n">
        <v>4186</v>
      </c>
      <c r="E55" s="23" t="n">
        <v>6736</v>
      </c>
      <c r="F55" s="22" t="n">
        <v>0</v>
      </c>
      <c r="G55" s="22" t="n">
        <v>2000</v>
      </c>
      <c r="H55" s="22" t="n">
        <v>2000</v>
      </c>
      <c r="I55" s="22" t="n">
        <v>0</v>
      </c>
      <c r="J55" s="23" t="n">
        <v>4000</v>
      </c>
      <c r="K55" s="22" t="n">
        <v>2736</v>
      </c>
      <c r="L55" s="23" t="n">
        <v>0</v>
      </c>
      <c r="M55" s="36" t="inlineStr">
        <is>
          <t>CUBIERTO</t>
        </is>
      </c>
    </row>
    <row r="56" ht="20" customHeight="1">
      <c r="A56" s="25" t="inlineStr">
        <is>
          <t>AGN</t>
        </is>
      </c>
      <c r="B56" s="41" t="inlineStr">
        <is>
          <t>AGROXILATO-N</t>
        </is>
      </c>
      <c r="C56" s="31" t="n">
        <v>700</v>
      </c>
      <c r="D56" s="31" t="n">
        <v>4000</v>
      </c>
      <c r="E56" s="32" t="n">
        <v>4700</v>
      </c>
      <c r="F56" s="31" t="n">
        <v>0</v>
      </c>
      <c r="G56" s="31" t="n">
        <v>3000</v>
      </c>
      <c r="H56" s="31" t="n">
        <v>0</v>
      </c>
      <c r="I56" s="31" t="n">
        <v>0</v>
      </c>
      <c r="J56" s="32" t="n">
        <v>3000</v>
      </c>
      <c r="K56" s="31" t="n">
        <v>1700</v>
      </c>
      <c r="L56" s="32" t="n">
        <v>0</v>
      </c>
      <c r="M56" s="36" t="inlineStr">
        <is>
          <t>CUBIERTO</t>
        </is>
      </c>
    </row>
    <row r="57" ht="20" customHeight="1">
      <c r="A57" s="18" t="inlineStr">
        <is>
          <t>SSAE</t>
        </is>
      </c>
      <c r="B57" s="42" t="inlineStr">
        <is>
          <t>MAGNIFIC-VIETS-AE</t>
        </is>
      </c>
      <c r="C57" s="22" t="n">
        <v>540</v>
      </c>
      <c r="D57" s="22" t="n">
        <v>2425</v>
      </c>
      <c r="E57" s="23" t="n">
        <v>2965</v>
      </c>
      <c r="F57" s="22" t="n">
        <v>0</v>
      </c>
      <c r="G57" s="22" t="n">
        <v>1000</v>
      </c>
      <c r="H57" s="22" t="n">
        <v>0</v>
      </c>
      <c r="I57" s="22" t="n">
        <v>0</v>
      </c>
      <c r="J57" s="23" t="n">
        <v>1000</v>
      </c>
      <c r="K57" s="22" t="n">
        <v>1965</v>
      </c>
      <c r="L57" s="23" t="n">
        <v>0</v>
      </c>
      <c r="M57" s="36" t="inlineStr">
        <is>
          <t>CUBIERTO</t>
        </is>
      </c>
    </row>
    <row r="58" ht="20" customHeight="1">
      <c r="A58" s="25" t="inlineStr">
        <is>
          <t>PML</t>
        </is>
      </c>
      <c r="B58" s="41" t="inlineStr">
        <is>
          <t>POLIGREEN MIX L</t>
        </is>
      </c>
      <c r="C58" s="31" t="n">
        <v>750</v>
      </c>
      <c r="D58" s="31" t="n">
        <v>0</v>
      </c>
      <c r="E58" s="32" t="n">
        <v>750</v>
      </c>
      <c r="F58" s="31" t="n">
        <v>0</v>
      </c>
      <c r="G58" s="31" t="n">
        <v>0</v>
      </c>
      <c r="H58" s="31" t="n">
        <v>660</v>
      </c>
      <c r="I58" s="31" t="n">
        <v>0</v>
      </c>
      <c r="J58" s="32" t="n">
        <v>660</v>
      </c>
      <c r="K58" s="31" t="n">
        <v>90</v>
      </c>
      <c r="L58" s="32" t="n">
        <v>0</v>
      </c>
      <c r="M58" s="36" t="inlineStr">
        <is>
          <t>CUBIERTO</t>
        </is>
      </c>
    </row>
    <row r="59" ht="20" customHeight="1">
      <c r="A59" s="18" t="inlineStr">
        <is>
          <t>P-5X</t>
        </is>
      </c>
      <c r="B59" s="42" t="inlineStr">
        <is>
          <t>P.M.S. 5x</t>
        </is>
      </c>
      <c r="C59" s="22" t="n">
        <v>171</v>
      </c>
      <c r="D59" s="22" t="n">
        <v>16900</v>
      </c>
      <c r="E59" s="23" t="n">
        <v>17071</v>
      </c>
      <c r="F59" s="22" t="n">
        <v>0</v>
      </c>
      <c r="G59" s="22" t="n">
        <v>0</v>
      </c>
      <c r="H59" s="22" t="n">
        <v>0</v>
      </c>
      <c r="I59" s="22" t="n">
        <v>500</v>
      </c>
      <c r="J59" s="23" t="n">
        <v>500</v>
      </c>
      <c r="K59" s="22" t="n">
        <v>16571</v>
      </c>
      <c r="L59" s="23" t="n">
        <v>0</v>
      </c>
      <c r="M59" s="36" t="inlineStr">
        <is>
          <t>CUBIERTO</t>
        </is>
      </c>
    </row>
    <row r="60" ht="20" customHeight="1">
      <c r="A60" s="25" t="inlineStr">
        <is>
          <t>AGFEL</t>
        </is>
      </c>
      <c r="B60" s="41" t="inlineStr">
        <is>
          <t>AGROXILATO-FE-L</t>
        </is>
      </c>
      <c r="C60" s="31" t="n">
        <v>604</v>
      </c>
      <c r="D60" s="31" t="n">
        <v>11357</v>
      </c>
      <c r="E60" s="32" t="n">
        <v>11961</v>
      </c>
      <c r="F60" s="31" t="n">
        <v>0</v>
      </c>
      <c r="G60" s="31" t="n">
        <v>0</v>
      </c>
      <c r="H60" s="31" t="n">
        <v>0</v>
      </c>
      <c r="I60" s="31" t="n">
        <v>0</v>
      </c>
      <c r="J60" s="32" t="n">
        <v>0</v>
      </c>
      <c r="K60" s="31" t="n">
        <v>11961</v>
      </c>
      <c r="L60" s="32" t="n">
        <v>0</v>
      </c>
      <c r="M60" s="36" t="inlineStr">
        <is>
          <t>CUBIERTO</t>
        </is>
      </c>
    </row>
    <row r="61" ht="20" customHeight="1">
      <c r="A61" s="18" t="inlineStr">
        <is>
          <t>AGMGL</t>
        </is>
      </c>
      <c r="B61" s="42" t="inlineStr">
        <is>
          <t>AGROXILATO-MG-L</t>
        </is>
      </c>
      <c r="C61" s="22" t="n">
        <v>630</v>
      </c>
      <c r="D61" s="22" t="n">
        <v>0</v>
      </c>
      <c r="E61" s="23" t="n">
        <v>630</v>
      </c>
      <c r="F61" s="22" t="n">
        <v>0</v>
      </c>
      <c r="G61" s="22" t="n">
        <v>0</v>
      </c>
      <c r="H61" s="22" t="n">
        <v>0</v>
      </c>
      <c r="I61" s="22" t="n">
        <v>0</v>
      </c>
      <c r="J61" s="23" t="n">
        <v>0</v>
      </c>
      <c r="K61" s="22" t="n">
        <v>630</v>
      </c>
      <c r="L61" s="23" t="n">
        <v>0</v>
      </c>
      <c r="M61" s="36" t="inlineStr">
        <is>
          <t>CUBIERTO</t>
        </is>
      </c>
    </row>
    <row r="62" ht="20" customHeight="1">
      <c r="A62" s="25" t="inlineStr">
        <is>
          <t>AGMNP</t>
        </is>
      </c>
      <c r="B62" s="41" t="inlineStr">
        <is>
          <t>AGROXILATO-MN PLUS</t>
        </is>
      </c>
      <c r="C62" s="31" t="n">
        <v>565</v>
      </c>
      <c r="D62" s="31" t="n">
        <v>2550</v>
      </c>
      <c r="E62" s="32" t="n">
        <v>3115</v>
      </c>
      <c r="F62" s="31" t="n">
        <v>0</v>
      </c>
      <c r="G62" s="31" t="n">
        <v>0</v>
      </c>
      <c r="H62" s="31" t="n">
        <v>0</v>
      </c>
      <c r="I62" s="31" t="n">
        <v>0</v>
      </c>
      <c r="J62" s="32" t="n">
        <v>0</v>
      </c>
      <c r="K62" s="31" t="n">
        <v>3115</v>
      </c>
      <c r="L62" s="32" t="n">
        <v>0</v>
      </c>
      <c r="M62" s="36" t="inlineStr">
        <is>
          <t>CUBIERTO</t>
        </is>
      </c>
    </row>
    <row r="63" ht="20" customHeight="1">
      <c r="A63" s="18" t="inlineStr">
        <is>
          <t>AGNF</t>
        </is>
      </c>
      <c r="B63" s="42" t="inlineStr">
        <is>
          <t>CODIGREEN</t>
        </is>
      </c>
      <c r="C63" s="22" t="n">
        <v>304</v>
      </c>
      <c r="D63" s="22" t="n">
        <v>0</v>
      </c>
      <c r="E63" s="23" t="n">
        <v>304</v>
      </c>
      <c r="F63" s="22" t="n">
        <v>0</v>
      </c>
      <c r="G63" s="22" t="n">
        <v>0</v>
      </c>
      <c r="H63" s="22" t="n">
        <v>0</v>
      </c>
      <c r="I63" s="22" t="n">
        <v>0</v>
      </c>
      <c r="J63" s="23" t="n">
        <v>0</v>
      </c>
      <c r="K63" s="22" t="n">
        <v>304</v>
      </c>
      <c r="L63" s="23" t="n">
        <v>0</v>
      </c>
      <c r="M63" s="36" t="inlineStr">
        <is>
          <t>CUBIERTO</t>
        </is>
      </c>
    </row>
    <row r="64" ht="20" customHeight="1">
      <c r="A64" s="25" t="inlineStr">
        <is>
          <t>AGOL</t>
        </is>
      </c>
      <c r="B64" s="41" t="inlineStr">
        <is>
          <t>AGROXIOLIVO</t>
        </is>
      </c>
      <c r="C64" s="31" t="n">
        <v>350</v>
      </c>
      <c r="D64" s="31" t="n">
        <v>0</v>
      </c>
      <c r="E64" s="32" t="n">
        <v>350</v>
      </c>
      <c r="F64" s="31" t="n">
        <v>0</v>
      </c>
      <c r="G64" s="31" t="n">
        <v>0</v>
      </c>
      <c r="H64" s="31" t="n">
        <v>0</v>
      </c>
      <c r="I64" s="31" t="n">
        <v>0</v>
      </c>
      <c r="J64" s="32" t="n">
        <v>0</v>
      </c>
      <c r="K64" s="31" t="n">
        <v>350</v>
      </c>
      <c r="L64" s="32" t="n">
        <v>0</v>
      </c>
      <c r="M64" s="36" t="inlineStr">
        <is>
          <t>CUBIERTO</t>
        </is>
      </c>
    </row>
    <row r="65" ht="20" customHeight="1">
      <c r="A65" s="18" t="inlineStr">
        <is>
          <t>AGRMG</t>
        </is>
      </c>
      <c r="B65" s="42" t="inlineStr">
        <is>
          <t>AGROXIGREEN-MG</t>
        </is>
      </c>
      <c r="C65" s="22" t="n">
        <v>313</v>
      </c>
      <c r="D65" s="22" t="n">
        <v>3875</v>
      </c>
      <c r="E65" s="23" t="n">
        <v>4188</v>
      </c>
      <c r="F65" s="22" t="n">
        <v>0</v>
      </c>
      <c r="G65" s="22" t="n">
        <v>0</v>
      </c>
      <c r="H65" s="22" t="n">
        <v>0</v>
      </c>
      <c r="I65" s="22" t="n">
        <v>0</v>
      </c>
      <c r="J65" s="23" t="n">
        <v>0</v>
      </c>
      <c r="K65" s="22" t="n">
        <v>4188</v>
      </c>
      <c r="L65" s="23" t="n">
        <v>0</v>
      </c>
      <c r="M65" s="36" t="inlineStr">
        <is>
          <t>CUBIERTO</t>
        </is>
      </c>
    </row>
    <row r="66" ht="20" customHeight="1">
      <c r="A66" s="25" t="inlineStr">
        <is>
          <t>AMGF</t>
        </is>
      </c>
      <c r="B66" s="41" t="inlineStr">
        <is>
          <t>AMINOGAL</t>
        </is>
      </c>
      <c r="C66" s="31" t="n">
        <v>232</v>
      </c>
      <c r="D66" s="31" t="n">
        <v>0</v>
      </c>
      <c r="E66" s="32" t="n">
        <v>232</v>
      </c>
      <c r="F66" s="31" t="n">
        <v>0</v>
      </c>
      <c r="G66" s="31" t="n">
        <v>0</v>
      </c>
      <c r="H66" s="31" t="n">
        <v>0</v>
      </c>
      <c r="I66" s="31" t="n">
        <v>0</v>
      </c>
      <c r="J66" s="32" t="n">
        <v>0</v>
      </c>
      <c r="K66" s="31" t="n">
        <v>232</v>
      </c>
      <c r="L66" s="32" t="n">
        <v>0</v>
      </c>
      <c r="M66" s="36" t="inlineStr">
        <is>
          <t>CUBIERTO</t>
        </is>
      </c>
    </row>
    <row r="67" ht="20" customHeight="1">
      <c r="A67" s="18" t="inlineStr">
        <is>
          <t>AQUOMAR</t>
        </is>
      </c>
      <c r="B67" s="42" t="inlineStr">
        <is>
          <t>AQUOM ARABIA</t>
        </is>
      </c>
      <c r="C67" s="22" t="n">
        <v>16</v>
      </c>
      <c r="D67" s="22" t="n">
        <v>75</v>
      </c>
      <c r="E67" s="23" t="n">
        <v>91</v>
      </c>
      <c r="F67" s="22" t="n">
        <v>0</v>
      </c>
      <c r="G67" s="22" t="n">
        <v>0</v>
      </c>
      <c r="H67" s="22" t="n">
        <v>0</v>
      </c>
      <c r="I67" s="22" t="n">
        <v>0</v>
      </c>
      <c r="J67" s="23" t="n">
        <v>0</v>
      </c>
      <c r="K67" s="22" t="n">
        <v>91</v>
      </c>
      <c r="L67" s="23" t="n">
        <v>0</v>
      </c>
      <c r="M67" s="36" t="inlineStr">
        <is>
          <t>CUBIERTO</t>
        </is>
      </c>
    </row>
    <row r="68" ht="20" customHeight="1">
      <c r="A68" s="25" t="inlineStr">
        <is>
          <t>AQUOMB</t>
        </is>
      </c>
      <c r="B68" s="41" t="inlineStr">
        <is>
          <t>AQUOM-BORO</t>
        </is>
      </c>
      <c r="C68" s="31" t="n">
        <v>2824</v>
      </c>
      <c r="D68" s="31" t="n">
        <v>6</v>
      </c>
      <c r="E68" s="32" t="n">
        <v>2830</v>
      </c>
      <c r="F68" s="31" t="n">
        <v>0</v>
      </c>
      <c r="G68" s="31" t="n">
        <v>0</v>
      </c>
      <c r="H68" s="31" t="n">
        <v>0</v>
      </c>
      <c r="I68" s="31" t="n">
        <v>0</v>
      </c>
      <c r="J68" s="32" t="n">
        <v>0</v>
      </c>
      <c r="K68" s="31" t="n">
        <v>2830</v>
      </c>
      <c r="L68" s="32" t="n">
        <v>0</v>
      </c>
      <c r="M68" s="36" t="inlineStr">
        <is>
          <t>CUBIERTO</t>
        </is>
      </c>
    </row>
    <row r="69" ht="20" customHeight="1">
      <c r="A69" s="18" t="inlineStr">
        <is>
          <t>BAYCAL</t>
        </is>
      </c>
      <c r="B69" s="42" t="inlineStr">
        <is>
          <t>BAYFOLAN-CALCIO</t>
        </is>
      </c>
      <c r="C69" s="22" t="n">
        <v>549</v>
      </c>
      <c r="D69" s="22" t="n">
        <v>2000</v>
      </c>
      <c r="E69" s="23" t="n">
        <v>2549</v>
      </c>
      <c r="F69" s="22" t="n">
        <v>0</v>
      </c>
      <c r="G69" s="22" t="n">
        <v>0</v>
      </c>
      <c r="H69" s="22" t="n">
        <v>0</v>
      </c>
      <c r="I69" s="22" t="n">
        <v>0</v>
      </c>
      <c r="J69" s="23" t="n">
        <v>0</v>
      </c>
      <c r="K69" s="22" t="n">
        <v>2549</v>
      </c>
      <c r="L69" s="23" t="n">
        <v>0</v>
      </c>
      <c r="M69" s="36" t="inlineStr">
        <is>
          <t>CUBIERTO</t>
        </is>
      </c>
    </row>
    <row r="70" ht="20" customHeight="1">
      <c r="A70" s="25" t="inlineStr">
        <is>
          <t>BEY</t>
        </is>
      </c>
      <c r="B70" s="41" t="inlineStr">
        <is>
          <t>BERRY-FLOR</t>
        </is>
      </c>
      <c r="C70" s="31" t="n">
        <v>2632</v>
      </c>
      <c r="D70" s="31" t="n">
        <v>1600</v>
      </c>
      <c r="E70" s="32" t="n">
        <v>4232</v>
      </c>
      <c r="F70" s="31" t="n">
        <v>0</v>
      </c>
      <c r="G70" s="31" t="n">
        <v>0</v>
      </c>
      <c r="H70" s="31" t="n">
        <v>0</v>
      </c>
      <c r="I70" s="31" t="n">
        <v>0</v>
      </c>
      <c r="J70" s="32" t="n">
        <v>0</v>
      </c>
      <c r="K70" s="31" t="n">
        <v>4232</v>
      </c>
      <c r="L70" s="32" t="n">
        <v>0</v>
      </c>
      <c r="M70" s="36" t="inlineStr">
        <is>
          <t>CUBIERTO</t>
        </is>
      </c>
    </row>
    <row r="71" ht="20" customHeight="1">
      <c r="A71" s="18" t="inlineStr">
        <is>
          <t>BM</t>
        </is>
      </c>
      <c r="B71" s="42" t="inlineStr">
        <is>
          <t>BOROCAL MAROC</t>
        </is>
      </c>
      <c r="C71" s="22" t="n">
        <v>60</v>
      </c>
      <c r="D71" s="22" t="n">
        <v>0</v>
      </c>
      <c r="E71" s="23" t="n">
        <v>60</v>
      </c>
      <c r="F71" s="22" t="n">
        <v>0</v>
      </c>
      <c r="G71" s="22" t="n">
        <v>0</v>
      </c>
      <c r="H71" s="22" t="n">
        <v>0</v>
      </c>
      <c r="I71" s="22" t="n">
        <v>0</v>
      </c>
      <c r="J71" s="23" t="n">
        <v>0</v>
      </c>
      <c r="K71" s="22" t="n">
        <v>60</v>
      </c>
      <c r="L71" s="23" t="n">
        <v>0</v>
      </c>
      <c r="M71" s="36" t="inlineStr">
        <is>
          <t>CUBIERTO</t>
        </is>
      </c>
    </row>
    <row r="72" ht="20" customHeight="1">
      <c r="A72" s="25" t="inlineStr">
        <is>
          <t>BPLUS2</t>
        </is>
      </c>
      <c r="B72" s="41" t="inlineStr">
        <is>
          <t>BOROCAL PLUS</t>
        </is>
      </c>
      <c r="C72" s="31" t="n">
        <v>60</v>
      </c>
      <c r="D72" s="31" t="n">
        <v>1175</v>
      </c>
      <c r="E72" s="32" t="n">
        <v>1235</v>
      </c>
      <c r="F72" s="31" t="n">
        <v>0</v>
      </c>
      <c r="G72" s="31" t="n">
        <v>0</v>
      </c>
      <c r="H72" s="31" t="n">
        <v>0</v>
      </c>
      <c r="I72" s="31" t="n">
        <v>0</v>
      </c>
      <c r="J72" s="32" t="n">
        <v>0</v>
      </c>
      <c r="K72" s="31" t="n">
        <v>1235</v>
      </c>
      <c r="L72" s="32" t="n">
        <v>0</v>
      </c>
      <c r="M72" s="36" t="inlineStr">
        <is>
          <t>CUBIERTO</t>
        </is>
      </c>
    </row>
    <row r="73" ht="20" customHeight="1">
      <c r="A73" s="18" t="inlineStr">
        <is>
          <t>BRE</t>
        </is>
      </c>
      <c r="B73" s="42" t="inlineStr">
        <is>
          <t>BREAK 30</t>
        </is>
      </c>
      <c r="C73" s="22" t="n">
        <v>300</v>
      </c>
      <c r="D73" s="22" t="n">
        <v>0</v>
      </c>
      <c r="E73" s="23" t="n">
        <v>300</v>
      </c>
      <c r="F73" s="22" t="n">
        <v>0</v>
      </c>
      <c r="G73" s="22" t="n">
        <v>0</v>
      </c>
      <c r="H73" s="22" t="n">
        <v>0</v>
      </c>
      <c r="I73" s="22" t="n">
        <v>0</v>
      </c>
      <c r="J73" s="23" t="n">
        <v>0</v>
      </c>
      <c r="K73" s="22" t="n">
        <v>300</v>
      </c>
      <c r="L73" s="23" t="n">
        <v>0</v>
      </c>
      <c r="M73" s="36" t="inlineStr">
        <is>
          <t>CUBIERTO</t>
        </is>
      </c>
    </row>
    <row r="74" ht="20" customHeight="1">
      <c r="A74" s="25" t="inlineStr">
        <is>
          <t>C-M-P</t>
        </is>
      </c>
      <c r="B74" s="41" t="inlineStr">
        <is>
          <t>CODIFOL-MO-PLUS</t>
        </is>
      </c>
      <c r="C74" s="31" t="n">
        <v>130</v>
      </c>
      <c r="D74" s="31" t="n">
        <v>4372</v>
      </c>
      <c r="E74" s="32" t="n">
        <v>4502</v>
      </c>
      <c r="F74" s="31" t="n">
        <v>0</v>
      </c>
      <c r="G74" s="31" t="n">
        <v>0</v>
      </c>
      <c r="H74" s="31" t="n">
        <v>0</v>
      </c>
      <c r="I74" s="31" t="n">
        <v>0</v>
      </c>
      <c r="J74" s="32" t="n">
        <v>0</v>
      </c>
      <c r="K74" s="31" t="n">
        <v>4502</v>
      </c>
      <c r="L74" s="32" t="n">
        <v>0</v>
      </c>
      <c r="M74" s="36" t="inlineStr">
        <is>
          <t>CUBIERTO</t>
        </is>
      </c>
    </row>
    <row r="75" ht="20" customHeight="1">
      <c r="A75" s="18" t="inlineStr">
        <is>
          <t>C-MGL</t>
        </is>
      </c>
      <c r="B75" s="42" t="inlineStr">
        <is>
          <t>CODIFOL-MgL</t>
        </is>
      </c>
      <c r="C75" s="22" t="n">
        <v>60</v>
      </c>
      <c r="D75" s="22" t="n">
        <v>0</v>
      </c>
      <c r="E75" s="23" t="n">
        <v>60</v>
      </c>
      <c r="F75" s="22" t="n">
        <v>0</v>
      </c>
      <c r="G75" s="22" t="n">
        <v>0</v>
      </c>
      <c r="H75" s="22" t="n">
        <v>0</v>
      </c>
      <c r="I75" s="22" t="n">
        <v>0</v>
      </c>
      <c r="J75" s="23" t="n">
        <v>0</v>
      </c>
      <c r="K75" s="22" t="n">
        <v>60</v>
      </c>
      <c r="L75" s="23" t="n">
        <v>0</v>
      </c>
      <c r="M75" s="36" t="inlineStr">
        <is>
          <t>CUBIERTO</t>
        </is>
      </c>
    </row>
    <row r="76" ht="20" customHeight="1">
      <c r="A76" s="25" t="inlineStr">
        <is>
          <t>CODIFOR</t>
        </is>
      </c>
      <c r="B76" s="41" t="inlineStr">
        <is>
          <t>CODIFORCE</t>
        </is>
      </c>
      <c r="C76" s="31" t="n">
        <v>500</v>
      </c>
      <c r="D76" s="31" t="n">
        <v>0</v>
      </c>
      <c r="E76" s="32" t="n">
        <v>500</v>
      </c>
      <c r="F76" s="31" t="n">
        <v>0</v>
      </c>
      <c r="G76" s="31" t="n">
        <v>0</v>
      </c>
      <c r="H76" s="31" t="n">
        <v>0</v>
      </c>
      <c r="I76" s="31" t="n">
        <v>0</v>
      </c>
      <c r="J76" s="32" t="n">
        <v>0</v>
      </c>
      <c r="K76" s="31" t="n">
        <v>500</v>
      </c>
      <c r="L76" s="32" t="n">
        <v>0</v>
      </c>
      <c r="M76" s="36" t="inlineStr">
        <is>
          <t>CUBIERTO</t>
        </is>
      </c>
    </row>
    <row r="77" ht="20" customHeight="1">
      <c r="A77" s="18" t="inlineStr">
        <is>
          <t>CSIL</t>
        </is>
      </c>
      <c r="B77" s="42" t="inlineStr">
        <is>
          <t>FITOKONTROL-K</t>
        </is>
      </c>
      <c r="C77" s="22" t="n">
        <v>2530</v>
      </c>
      <c r="D77" s="22" t="n">
        <v>5624</v>
      </c>
      <c r="E77" s="23" t="n">
        <v>8154</v>
      </c>
      <c r="F77" s="22" t="n">
        <v>0</v>
      </c>
      <c r="G77" s="22" t="n">
        <v>0</v>
      </c>
      <c r="H77" s="22" t="n">
        <v>0</v>
      </c>
      <c r="I77" s="22" t="n">
        <v>0</v>
      </c>
      <c r="J77" s="23" t="n">
        <v>0</v>
      </c>
      <c r="K77" s="22" t="n">
        <v>8154</v>
      </c>
      <c r="L77" s="23" t="n">
        <v>0</v>
      </c>
      <c r="M77" s="36" t="inlineStr">
        <is>
          <t>CUBIERTO</t>
        </is>
      </c>
    </row>
    <row r="78" ht="20" customHeight="1">
      <c r="A78" s="25" t="inlineStr">
        <is>
          <t>EQUI</t>
        </is>
      </c>
      <c r="B78" s="41" t="inlineStr">
        <is>
          <t>BIOCULTURE EQUISIL</t>
        </is>
      </c>
      <c r="C78" s="31" t="n">
        <v>648</v>
      </c>
      <c r="D78" s="31" t="n">
        <v>0</v>
      </c>
      <c r="E78" s="32" t="n">
        <v>648</v>
      </c>
      <c r="F78" s="31" t="n">
        <v>0</v>
      </c>
      <c r="G78" s="31" t="n">
        <v>0</v>
      </c>
      <c r="H78" s="31" t="n">
        <v>0</v>
      </c>
      <c r="I78" s="31" t="n">
        <v>0</v>
      </c>
      <c r="J78" s="32" t="n">
        <v>0</v>
      </c>
      <c r="K78" s="31" t="n">
        <v>648</v>
      </c>
      <c r="L78" s="32" t="n">
        <v>0</v>
      </c>
      <c r="M78" s="36" t="inlineStr">
        <is>
          <t>CUBIERTO</t>
        </is>
      </c>
    </row>
    <row r="79" ht="20" customHeight="1">
      <c r="A79" s="18" t="inlineStr">
        <is>
          <t>F-AA</t>
        </is>
      </c>
      <c r="B79" s="42" t="inlineStr">
        <is>
          <t>FITOLÍN ALEMANIA</t>
        </is>
      </c>
      <c r="C79" s="22" t="n">
        <v>35</v>
      </c>
      <c r="D79" s="22" t="n">
        <v>0</v>
      </c>
      <c r="E79" s="23" t="n">
        <v>35</v>
      </c>
      <c r="F79" s="22" t="n">
        <v>0</v>
      </c>
      <c r="G79" s="22" t="n">
        <v>0</v>
      </c>
      <c r="H79" s="22" t="n">
        <v>0</v>
      </c>
      <c r="I79" s="22" t="n">
        <v>0</v>
      </c>
      <c r="J79" s="23" t="n">
        <v>0</v>
      </c>
      <c r="K79" s="22" t="n">
        <v>35</v>
      </c>
      <c r="L79" s="23" t="n">
        <v>0</v>
      </c>
      <c r="M79" s="36" t="inlineStr">
        <is>
          <t>CUBIERTO</t>
        </is>
      </c>
    </row>
    <row r="80" ht="20" customHeight="1">
      <c r="A80" s="25" t="inlineStr">
        <is>
          <t>G2</t>
        </is>
      </c>
      <c r="B80" s="41" t="inlineStr">
        <is>
          <t>GREEN-UP2  EXPORTACION</t>
        </is>
      </c>
      <c r="C80" s="31" t="n">
        <v>2108</v>
      </c>
      <c r="D80" s="31" t="n">
        <v>0</v>
      </c>
      <c r="E80" s="32" t="n">
        <v>2108</v>
      </c>
      <c r="F80" s="31" t="n">
        <v>0</v>
      </c>
      <c r="G80" s="31" t="n">
        <v>0</v>
      </c>
      <c r="H80" s="31" t="n">
        <v>0</v>
      </c>
      <c r="I80" s="31" t="n">
        <v>0</v>
      </c>
      <c r="J80" s="32" t="n">
        <v>0</v>
      </c>
      <c r="K80" s="31" t="n">
        <v>2108</v>
      </c>
      <c r="L80" s="32" t="n">
        <v>0</v>
      </c>
      <c r="M80" s="36" t="inlineStr">
        <is>
          <t>CUBIERTO</t>
        </is>
      </c>
    </row>
    <row r="81" ht="20" customHeight="1">
      <c r="A81" s="18" t="inlineStr">
        <is>
          <t>NB</t>
        </is>
      </c>
      <c r="B81" s="42" t="inlineStr">
        <is>
          <t>NITROBALANCE</t>
        </is>
      </c>
      <c r="C81" s="22" t="n">
        <v>1480</v>
      </c>
      <c r="D81" s="22" t="n">
        <v>0</v>
      </c>
      <c r="E81" s="23" t="n">
        <v>1480</v>
      </c>
      <c r="F81" s="22" t="n">
        <v>0</v>
      </c>
      <c r="G81" s="22" t="n">
        <v>0</v>
      </c>
      <c r="H81" s="22" t="n">
        <v>0</v>
      </c>
      <c r="I81" s="22" t="n">
        <v>0</v>
      </c>
      <c r="J81" s="23" t="n">
        <v>0</v>
      </c>
      <c r="K81" s="22" t="n">
        <v>1480</v>
      </c>
      <c r="L81" s="23" t="n">
        <v>0</v>
      </c>
      <c r="M81" s="36" t="inlineStr">
        <is>
          <t>CUBIERTO</t>
        </is>
      </c>
    </row>
    <row r="82" ht="20" customHeight="1">
      <c r="A82" s="25" t="inlineStr">
        <is>
          <t>NI</t>
        </is>
      </c>
      <c r="B82" s="41" t="inlineStr">
        <is>
          <t>NUTRICAL ITALIA</t>
        </is>
      </c>
      <c r="C82" s="31" t="n">
        <v>400</v>
      </c>
      <c r="D82" s="31" t="n">
        <v>2000</v>
      </c>
      <c r="E82" s="32" t="n">
        <v>2400</v>
      </c>
      <c r="F82" s="31" t="n">
        <v>0</v>
      </c>
      <c r="G82" s="31" t="n">
        <v>0</v>
      </c>
      <c r="H82" s="31" t="n">
        <v>0</v>
      </c>
      <c r="I82" s="31" t="n">
        <v>0</v>
      </c>
      <c r="J82" s="32" t="n">
        <v>0</v>
      </c>
      <c r="K82" s="31" t="n">
        <v>2400</v>
      </c>
      <c r="L82" s="32" t="n">
        <v>0</v>
      </c>
      <c r="M82" s="36" t="inlineStr">
        <is>
          <t>CUBIERTO</t>
        </is>
      </c>
    </row>
    <row r="83" ht="20" customHeight="1">
      <c r="A83" s="18" t="inlineStr">
        <is>
          <t>P-ZM3.5</t>
        </is>
      </c>
      <c r="B83" s="42" t="inlineStr">
        <is>
          <t>POLIGREEN-ZNMN</t>
        </is>
      </c>
      <c r="C83" s="22" t="n">
        <v>1450</v>
      </c>
      <c r="D83" s="22" t="n">
        <v>25600</v>
      </c>
      <c r="E83" s="23" t="n">
        <v>27050</v>
      </c>
      <c r="F83" s="22" t="n">
        <v>0</v>
      </c>
      <c r="G83" s="22" t="n">
        <v>0</v>
      </c>
      <c r="H83" s="22" t="n">
        <v>0</v>
      </c>
      <c r="I83" s="22" t="n">
        <v>0</v>
      </c>
      <c r="J83" s="23" t="n">
        <v>0</v>
      </c>
      <c r="K83" s="22" t="n">
        <v>27050</v>
      </c>
      <c r="L83" s="23" t="n">
        <v>0</v>
      </c>
      <c r="M83" s="36" t="inlineStr">
        <is>
          <t>CUBIERTO</t>
        </is>
      </c>
    </row>
    <row r="84" ht="20" customHeight="1">
      <c r="A84" s="25" t="inlineStr">
        <is>
          <t>PHD2</t>
        </is>
      </c>
      <c r="B84" s="41" t="inlineStr">
        <is>
          <t>PH DOWNER 2</t>
        </is>
      </c>
      <c r="C84" s="31" t="n">
        <v>10</v>
      </c>
      <c r="D84" s="31" t="n">
        <v>0</v>
      </c>
      <c r="E84" s="32" t="n">
        <v>10</v>
      </c>
      <c r="F84" s="31" t="n">
        <v>0</v>
      </c>
      <c r="G84" s="31" t="n">
        <v>0</v>
      </c>
      <c r="H84" s="31" t="n">
        <v>0</v>
      </c>
      <c r="I84" s="31" t="n">
        <v>0</v>
      </c>
      <c r="J84" s="32" t="n">
        <v>0</v>
      </c>
      <c r="K84" s="31" t="n">
        <v>10</v>
      </c>
      <c r="L84" s="32" t="n">
        <v>0</v>
      </c>
      <c r="M84" s="36" t="inlineStr">
        <is>
          <t>CUBIERTO</t>
        </is>
      </c>
    </row>
    <row r="85" ht="20" customHeight="1">
      <c r="A85" s="18" t="inlineStr">
        <is>
          <t>PREV</t>
        </is>
      </c>
      <c r="B85" s="42" t="inlineStr">
        <is>
          <t>PREVIUM</t>
        </is>
      </c>
      <c r="C85" s="22" t="n">
        <v>200</v>
      </c>
      <c r="D85" s="22" t="n">
        <v>0</v>
      </c>
      <c r="E85" s="23" t="n">
        <v>200</v>
      </c>
      <c r="F85" s="22" t="n">
        <v>0</v>
      </c>
      <c r="G85" s="22" t="n">
        <v>0</v>
      </c>
      <c r="H85" s="22" t="n">
        <v>0</v>
      </c>
      <c r="I85" s="22" t="n">
        <v>0</v>
      </c>
      <c r="J85" s="23" t="n">
        <v>0</v>
      </c>
      <c r="K85" s="22" t="n">
        <v>200</v>
      </c>
      <c r="L85" s="23" t="n">
        <v>0</v>
      </c>
      <c r="M85" s="36" t="inlineStr">
        <is>
          <t>CUBIERTO</t>
        </is>
      </c>
    </row>
    <row r="86" ht="20" customHeight="1">
      <c r="A86" s="25" t="inlineStr">
        <is>
          <t>SPAR</t>
        </is>
      </c>
      <c r="B86" s="41" t="inlineStr">
        <is>
          <t>SPRINTENE ARABIA</t>
        </is>
      </c>
      <c r="C86" s="31" t="n">
        <v>50</v>
      </c>
      <c r="D86" s="31" t="n">
        <v>0</v>
      </c>
      <c r="E86" s="32" t="n">
        <v>50</v>
      </c>
      <c r="F86" s="31" t="n">
        <v>0</v>
      </c>
      <c r="G86" s="31" t="n">
        <v>0</v>
      </c>
      <c r="H86" s="31" t="n">
        <v>0</v>
      </c>
      <c r="I86" s="31" t="n">
        <v>0</v>
      </c>
      <c r="J86" s="32" t="n">
        <v>0</v>
      </c>
      <c r="K86" s="31" t="n">
        <v>50</v>
      </c>
      <c r="L86" s="32" t="n">
        <v>0</v>
      </c>
      <c r="M86" s="36" t="inlineStr">
        <is>
          <t>CUBIERTO</t>
        </is>
      </c>
    </row>
    <row r="87" ht="20" customHeight="1">
      <c r="A87" s="18" t="inlineStr">
        <is>
          <t>SPP</t>
        </is>
      </c>
      <c r="B87" s="42" t="inlineStr">
        <is>
          <t>SPRINTPLUS</t>
        </is>
      </c>
      <c r="C87" s="22" t="n">
        <v>30</v>
      </c>
      <c r="D87" s="22" t="n">
        <v>0</v>
      </c>
      <c r="E87" s="23" t="n">
        <v>30</v>
      </c>
      <c r="F87" s="22" t="n">
        <v>0</v>
      </c>
      <c r="G87" s="22" t="n">
        <v>0</v>
      </c>
      <c r="H87" s="22" t="n">
        <v>0</v>
      </c>
      <c r="I87" s="22" t="n">
        <v>0</v>
      </c>
      <c r="J87" s="23" t="n">
        <v>0</v>
      </c>
      <c r="K87" s="22" t="n">
        <v>30</v>
      </c>
      <c r="L87" s="23" t="n">
        <v>0</v>
      </c>
      <c r="M87" s="36" t="inlineStr">
        <is>
          <t>CUBIERTO</t>
        </is>
      </c>
    </row>
    <row r="88" ht="26" customHeight="1">
      <c r="A88" s="37" t="inlineStr">
        <is>
          <t>TOTAL PLANTA GRANELES (L/KG)</t>
        </is>
      </c>
      <c r="B88" s="38" t="n"/>
      <c r="C88" s="39">
        <f>SUM(C6:C87)</f>
        <v/>
      </c>
      <c r="D88" s="39">
        <f>SUM(D6:D87)</f>
        <v/>
      </c>
      <c r="E88" s="39">
        <f>SUM(E6:E87)</f>
        <v/>
      </c>
      <c r="F88" s="39">
        <f>SUM(F6:F87)</f>
        <v/>
      </c>
      <c r="G88" s="39">
        <f>SUM(G6:G87)</f>
        <v/>
      </c>
      <c r="H88" s="39">
        <f>SUM(H6:H87)</f>
        <v/>
      </c>
      <c r="I88" s="39">
        <f>SUM(I6:I87)</f>
        <v/>
      </c>
      <c r="J88" s="39">
        <f>SUM(J6:J87)</f>
        <v/>
      </c>
      <c r="K88" s="39">
        <f>SUM(K6:K87)</f>
        <v/>
      </c>
      <c r="L88" s="39">
        <f>SUM(L6:L87)</f>
        <v/>
      </c>
      <c r="M88" s="40" t="inlineStr"/>
    </row>
  </sheetData>
  <autoFilter ref="A5:M87"/>
  <mergeCells count="7">
    <mergeCell ref="A4:B4"/>
    <mergeCell ref="A1:M1"/>
    <mergeCell ref="K4:M4"/>
    <mergeCell ref="C4:E4"/>
    <mergeCell ref="A88:B88"/>
    <mergeCell ref="A2:M2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2" customWidth="1" min="9" max="9"/>
  </cols>
  <sheetData>
    <row r="1" ht="28" customHeight="1">
      <c r="A1" s="1" t="inlineStr">
        <is>
          <t xml:space="preserve">  CODIAGRO S.L.  |  RESUMEN DE NECESIDADES POR LÍNEA DE ENVASADO Y FORMATO (UNIDADES FÍSICAS)</t>
        </is>
      </c>
    </row>
    <row r="3" ht="24" customHeight="1">
      <c r="A3" s="13" t="inlineStr">
        <is>
          <t>Línea / Formato de Envasado</t>
        </is>
      </c>
      <c r="B3" s="12" t="inlineStr">
        <is>
          <t>Nº Registros</t>
        </is>
      </c>
      <c r="C3" s="14" t="inlineStr">
        <is>
          <t>Stock Envasado (u)</t>
        </is>
      </c>
      <c r="D3" s="14" t="inlineStr">
        <is>
          <t>Cartera Inmediata (u)</t>
        </is>
      </c>
      <c r="E3" s="14" t="inlineStr">
        <is>
          <t>Oct-26 (u)</t>
        </is>
      </c>
      <c r="F3" s="14" t="inlineStr">
        <is>
          <t>Nov-26 (u)</t>
        </is>
      </c>
      <c r="G3" s="14" t="inlineStr">
        <is>
          <t>Dic-26 (u)</t>
        </is>
      </c>
      <c r="H3" s="14" t="inlineStr">
        <is>
          <t>Demanda Total (u)</t>
        </is>
      </c>
      <c r="I3" s="14" t="inlineStr">
        <is>
          <t>A Fabricar Sugerido (u)</t>
        </is>
      </c>
    </row>
    <row r="4" ht="20" customHeight="1">
      <c r="A4" s="41" t="inlineStr">
        <is>
          <t>Depósito 1000 L</t>
        </is>
      </c>
      <c r="B4" s="29" t="n">
        <v>21</v>
      </c>
      <c r="C4" s="31" t="n">
        <v>12000</v>
      </c>
      <c r="D4" s="31" t="n">
        <v>11000</v>
      </c>
      <c r="E4" s="31" t="n">
        <v>44000</v>
      </c>
      <c r="F4" s="31" t="n">
        <v>74000</v>
      </c>
      <c r="G4" s="31" t="n">
        <v>24500</v>
      </c>
      <c r="H4" s="32" t="n">
        <v>153500</v>
      </c>
      <c r="I4" s="32" t="n">
        <v>141500</v>
      </c>
    </row>
    <row r="5" ht="20" customHeight="1">
      <c r="A5" s="42" t="inlineStr">
        <is>
          <t>Depósito 200 L</t>
        </is>
      </c>
      <c r="B5" s="19" t="n">
        <v>8</v>
      </c>
      <c r="C5" s="22" t="n">
        <v>5600</v>
      </c>
      <c r="D5" s="22" t="n">
        <v>0</v>
      </c>
      <c r="E5" s="22" t="n">
        <v>11400</v>
      </c>
      <c r="F5" s="22" t="n">
        <v>7400</v>
      </c>
      <c r="G5" s="22" t="n">
        <v>8000</v>
      </c>
      <c r="H5" s="23" t="n">
        <v>26800</v>
      </c>
      <c r="I5" s="23" t="n">
        <v>21200</v>
      </c>
    </row>
    <row r="6" ht="20" customHeight="1">
      <c r="A6" s="41" t="inlineStr">
        <is>
          <t>Garrafas 20L</t>
        </is>
      </c>
      <c r="B6" s="29" t="n">
        <v>79</v>
      </c>
      <c r="C6" s="31" t="n">
        <v>131468</v>
      </c>
      <c r="D6" s="31" t="n">
        <v>19940</v>
      </c>
      <c r="E6" s="31" t="n">
        <v>176460</v>
      </c>
      <c r="F6" s="31" t="n">
        <v>199420</v>
      </c>
      <c r="G6" s="31" t="n">
        <v>391260</v>
      </c>
      <c r="H6" s="32" t="n">
        <v>787080</v>
      </c>
      <c r="I6" s="32" t="n">
        <v>655612</v>
      </c>
    </row>
    <row r="7" ht="20" customHeight="1">
      <c r="A7" s="42" t="inlineStr">
        <is>
          <t>Garrafas 5L</t>
        </is>
      </c>
      <c r="B7" s="19" t="n">
        <v>100</v>
      </c>
      <c r="C7" s="22" t="n">
        <v>41675</v>
      </c>
      <c r="D7" s="22" t="n">
        <v>3490</v>
      </c>
      <c r="E7" s="22" t="n">
        <v>60985</v>
      </c>
      <c r="F7" s="22" t="n">
        <v>55180</v>
      </c>
      <c r="G7" s="22" t="n">
        <v>116745</v>
      </c>
      <c r="H7" s="23" t="n">
        <v>236400</v>
      </c>
      <c r="I7" s="23" t="n">
        <v>194725</v>
      </c>
    </row>
    <row r="8" ht="20" customHeight="1">
      <c r="A8" s="41" t="inlineStr">
        <is>
          <t>Botellas 1L</t>
        </is>
      </c>
      <c r="B8" s="29" t="n">
        <v>83</v>
      </c>
      <c r="C8" s="31" t="n">
        <v>4720</v>
      </c>
      <c r="D8" s="31" t="n">
        <v>2339</v>
      </c>
      <c r="E8" s="31" t="n">
        <v>19072</v>
      </c>
      <c r="F8" s="31" t="n">
        <v>38732</v>
      </c>
      <c r="G8" s="31" t="n">
        <v>50300</v>
      </c>
      <c r="H8" s="32" t="n">
        <v>110443</v>
      </c>
      <c r="I8" s="32" t="n">
        <v>105723</v>
      </c>
    </row>
    <row r="9" ht="24" customHeight="1">
      <c r="A9" s="43" t="inlineStr">
        <is>
          <t>TOTAL PLANTA ENVASADO</t>
        </is>
      </c>
      <c r="B9" s="44">
        <f>SUM(B4:B8)</f>
        <v/>
      </c>
      <c r="C9" s="45">
        <f>SUM(C4:C8)</f>
        <v/>
      </c>
      <c r="D9" s="45">
        <f>SUM(D4:D8)</f>
        <v/>
      </c>
      <c r="E9" s="45">
        <f>SUM(E4:E8)</f>
        <v/>
      </c>
      <c r="F9" s="45">
        <f>SUM(F4:F8)</f>
        <v/>
      </c>
      <c r="G9" s="45">
        <f>SUM(G4:G8)</f>
        <v/>
      </c>
      <c r="H9" s="45">
        <f>SUM(H4:H8)</f>
        <v/>
      </c>
      <c r="I9" s="45">
        <f>SUM(I4:I8)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6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20" customWidth="1" min="8" max="8"/>
    <col width="16" customWidth="1" min="9" max="9"/>
    <col width="16" customWidth="1" min="10" max="10"/>
    <col width="18" customWidth="1" min="11" max="11"/>
    <col width="24" customWidth="1" min="12" max="12"/>
    <col width="16" customWidth="1" min="13" max="13"/>
    <col width="22" customWidth="1" min="14" max="14"/>
    <col width="22" customWidth="1" min="15" max="15"/>
    <col width="34" customWidth="1" min="16" max="16"/>
  </cols>
  <sheetData>
    <row r="1" ht="28" customHeight="1">
      <c r="A1" s="1" t="inlineStr">
        <is>
          <t xml:space="preserve">  CODIAGRO S.L.  |  ANÁLISIS DE ROTACIÓN DE STOCK: SLOW MOVERS &amp; NO MOVERS (MERCADO NACIONAL)</t>
        </is>
      </c>
    </row>
    <row r="2" ht="18" customHeight="1">
      <c r="A2" s="2" t="inlineStr">
        <is>
          <t xml:space="preserve">  Premisa de Gestión: Previsiones exclusivamente del Mercado Nacional (España). La exportación se fabricará siempre sobre pedido.  |  Fecha: 06/10/2026 15:12</t>
        </is>
      </c>
    </row>
    <row r="3" ht="8" customHeight="1"/>
    <row r="4" ht="16" customHeight="1">
      <c r="A4" s="3" t="inlineStr">
        <is>
          <t>STOCK TOTAL ENVASADO ALMACÉN</t>
        </is>
      </c>
      <c r="B4" s="4" t="n"/>
      <c r="C4" s="4" t="n"/>
      <c r="D4" s="4" t="n"/>
      <c r="E4" s="3" t="inlineStr">
        <is>
          <t>🔴 NOMOVERS (&gt;6M NACIONAL) — 19.4%</t>
        </is>
      </c>
      <c r="F4" s="4" t="n"/>
      <c r="G4" s="4" t="n"/>
      <c r="H4" s="4" t="n"/>
      <c r="I4" s="3" t="inlineStr">
        <is>
          <t>🟡 SLOWMOVERS (3-6M NACIONAL) — 15.6%</t>
        </is>
      </c>
      <c r="J4" s="4" t="n"/>
      <c r="K4" s="4" t="n"/>
      <c r="L4" s="4" t="n"/>
      <c r="M4" s="3" t="inlineStr">
        <is>
          <t>🟢 ALTA ROTACIÓN (Q4 NACIONAL) — 65.0%</t>
        </is>
      </c>
      <c r="N4" s="4" t="n"/>
      <c r="O4" s="4" t="n"/>
      <c r="P4" s="4" t="n"/>
    </row>
    <row r="5" ht="24" customHeight="1">
      <c r="A5" s="46" t="inlineStr">
        <is>
          <t>261.783 u  (246.269 €)</t>
        </is>
      </c>
      <c r="B5" s="4" t="n"/>
      <c r="C5" s="4" t="n"/>
      <c r="D5" s="4" t="n"/>
      <c r="E5" s="5" t="inlineStr">
        <is>
          <t>50.774 u  |  54.040.26 €</t>
        </is>
      </c>
      <c r="F5" s="4" t="n"/>
      <c r="G5" s="4" t="n"/>
      <c r="H5" s="4" t="n"/>
      <c r="I5" s="6" t="inlineStr">
        <is>
          <t>40.963 u  |  41.175.23 €</t>
        </is>
      </c>
      <c r="J5" s="4" t="n"/>
      <c r="K5" s="4" t="n"/>
      <c r="L5" s="4" t="n"/>
      <c r="M5" s="8" t="inlineStr">
        <is>
          <t>170.046 u  (32 SKUs)</t>
        </is>
      </c>
      <c r="N5" s="4" t="n"/>
      <c r="O5" s="4" t="n"/>
      <c r="P5" s="4" t="n"/>
    </row>
    <row r="6" ht="10" customHeight="1"/>
    <row r="7" ht="20" customHeight="1">
      <c r="A7" s="9" t="inlineStr">
        <is>
          <t>1. IDENTIFICACIÓN ARTÍCULO</t>
        </is>
      </c>
      <c r="D7" s="10" t="inlineStr">
        <is>
          <t>2. STOCK FÍSICO ALMACÉN</t>
        </is>
      </c>
      <c r="F7" s="10" t="inlineStr">
        <is>
          <t>3. PREVISIÓN MERCADO NACIONAL (UNIDADES)</t>
        </is>
      </c>
      <c r="I7" s="47" t="inlineStr">
        <is>
          <t>4. EVALUACIÓN DE ROTACIÓN Y VALORACIÓN ECONÓMICA</t>
        </is>
      </c>
    </row>
    <row r="8" ht="24" customHeight="1">
      <c r="A8" s="12" t="inlineStr">
        <is>
          <t>Cód. Base SKU</t>
        </is>
      </c>
      <c r="B8" s="13" t="inlineStr">
        <is>
          <t>Descripción Producto</t>
        </is>
      </c>
      <c r="C8" s="13" t="inlineStr">
        <is>
          <t>Línea / Formato</t>
        </is>
      </c>
      <c r="D8" s="15" t="inlineStr">
        <is>
          <t>Stock Físico (u)</t>
        </is>
      </c>
      <c r="E8" s="15" t="inlineStr">
        <is>
          <t>Stock Físico (L/Kg)</t>
        </is>
      </c>
      <c r="F8" s="15" t="inlineStr">
        <is>
          <t>Prev. Nac Q4 (u)</t>
        </is>
      </c>
      <c r="G8" s="15" t="inlineStr">
        <is>
          <t>Prev. Nac Q1-27 (u)</t>
        </is>
      </c>
      <c r="H8" s="15" t="inlineStr">
        <is>
          <t>Prev. Nac 6 Meses (u)</t>
        </is>
      </c>
      <c r="I8" s="48" t="inlineStr">
        <is>
          <t>SlowMovers (u)</t>
        </is>
      </c>
      <c r="J8" s="48" t="inlineStr">
        <is>
          <t>NoMovers (u)</t>
        </is>
      </c>
      <c r="K8" s="48" t="inlineStr">
        <is>
          <t>NoMovers (L/Kg)</t>
        </is>
      </c>
      <c r="L8" s="49" t="inlineStr">
        <is>
          <t>Clasificación Rotación</t>
        </is>
      </c>
      <c r="M8" s="48" t="inlineStr">
        <is>
          <t>Precio Ref. (€/u)</t>
        </is>
      </c>
      <c r="N8" s="48" t="inlineStr">
        <is>
          <t>Inmovilizado NoMover (€)</t>
        </is>
      </c>
      <c r="O8" s="48" t="inlineStr">
        <is>
          <t>Inmovilizado SlowMover (€)</t>
        </is>
      </c>
      <c r="P8" s="50" t="inlineStr">
        <is>
          <t>Acción Comercial Recomendada</t>
        </is>
      </c>
    </row>
    <row r="9" ht="20" customHeight="1">
      <c r="A9" s="51" t="inlineStr">
        <is>
          <t>SPCE0001</t>
        </is>
      </c>
      <c r="B9" s="20" t="inlineStr">
        <is>
          <t>SPRINTENE</t>
        </is>
      </c>
      <c r="C9" s="20" t="inlineStr">
        <is>
          <t>Botellas 1L</t>
        </is>
      </c>
      <c r="D9" s="23" t="n">
        <v>792</v>
      </c>
      <c r="E9" s="22" t="n">
        <v>792</v>
      </c>
      <c r="F9" s="22" t="n">
        <v>0</v>
      </c>
      <c r="G9" s="22" t="n">
        <v>0</v>
      </c>
      <c r="H9" s="23" t="n">
        <v>0</v>
      </c>
      <c r="I9" s="23" t="n">
        <v>0</v>
      </c>
      <c r="J9" s="23" t="n">
        <v>792</v>
      </c>
      <c r="K9" s="22" t="n">
        <v>792</v>
      </c>
      <c r="L9" s="24" t="inlineStr">
        <is>
          <t>🔴 NoMover (&gt;6M Nac)</t>
        </is>
      </c>
      <c r="M9" s="52" t="n">
        <v>6.350509718</v>
      </c>
      <c r="N9" s="53" t="n">
        <v>5029.6</v>
      </c>
      <c r="O9" s="52" t="n">
        <v>0</v>
      </c>
      <c r="P9" s="20" t="inlineStr">
        <is>
          <t>Sin Demanda Nacional (Inmovilizado Crítico)</t>
        </is>
      </c>
    </row>
    <row r="10" ht="20" customHeight="1">
      <c r="A10" s="54" t="inlineStr">
        <is>
          <t>AGFEL0005</t>
        </is>
      </c>
      <c r="B10" s="27" t="inlineStr">
        <is>
          <t>AGROXILATO-FE-L, 5 L</t>
        </is>
      </c>
      <c r="C10" s="27" t="inlineStr">
        <is>
          <t>Garrafas 5L</t>
        </is>
      </c>
      <c r="D10" s="32" t="n">
        <v>2125</v>
      </c>
      <c r="E10" s="31" t="n">
        <v>10625</v>
      </c>
      <c r="F10" s="31" t="n">
        <v>0</v>
      </c>
      <c r="G10" s="31" t="n">
        <v>45</v>
      </c>
      <c r="H10" s="32" t="n">
        <v>45</v>
      </c>
      <c r="I10" s="32" t="n">
        <v>45</v>
      </c>
      <c r="J10" s="32" t="n">
        <v>2080</v>
      </c>
      <c r="K10" s="31" t="n">
        <v>10400</v>
      </c>
      <c r="L10" s="24" t="inlineStr">
        <is>
          <t>🔴 NoMover (&gt;6M Nac)</t>
        </is>
      </c>
      <c r="M10" s="55" t="n">
        <v>1.807611829</v>
      </c>
      <c r="N10" s="56" t="n">
        <v>3759.83</v>
      </c>
      <c r="O10" s="57" t="n">
        <v>81.34</v>
      </c>
      <c r="P10" s="27" t="inlineStr">
        <is>
          <t>Plan Choque Comercial Nac / Oferta</t>
        </is>
      </c>
    </row>
    <row r="11" ht="20" customHeight="1">
      <c r="A11" s="51" t="inlineStr">
        <is>
          <t>AO0005</t>
        </is>
      </c>
      <c r="B11" s="20" t="inlineStr">
        <is>
          <t>ALCAPLANT OMRI, 5 KG</t>
        </is>
      </c>
      <c r="C11" s="20" t="inlineStr">
        <is>
          <t>Garrafas 5L</t>
        </is>
      </c>
      <c r="D11" s="23" t="n">
        <v>7210</v>
      </c>
      <c r="E11" s="22" t="n">
        <v>36050</v>
      </c>
      <c r="F11" s="22" t="n">
        <v>0</v>
      </c>
      <c r="G11" s="22" t="n">
        <v>0</v>
      </c>
      <c r="H11" s="23" t="n">
        <v>0</v>
      </c>
      <c r="I11" s="23" t="n">
        <v>0</v>
      </c>
      <c r="J11" s="23" t="n">
        <v>7210</v>
      </c>
      <c r="K11" s="22" t="n">
        <v>36050</v>
      </c>
      <c r="L11" s="24" t="inlineStr">
        <is>
          <t>🔴 NoMover (&gt;6M Nac)</t>
        </is>
      </c>
      <c r="M11" s="52" t="n">
        <v>0.519747475</v>
      </c>
      <c r="N11" s="53" t="n">
        <v>3747.38</v>
      </c>
      <c r="O11" s="52" t="n">
        <v>0</v>
      </c>
      <c r="P11" s="20" t="inlineStr">
        <is>
          <t>Sin Demanda Nacional (Inmovilizado Crítico)</t>
        </is>
      </c>
    </row>
    <row r="12" ht="20" customHeight="1">
      <c r="A12" s="54" t="inlineStr">
        <is>
          <t>C-M-P0005</t>
        </is>
      </c>
      <c r="B12" s="27" t="inlineStr">
        <is>
          <t>CODIFOL-MO-PLUS, 5 L</t>
        </is>
      </c>
      <c r="C12" s="27" t="inlineStr">
        <is>
          <t>Garrafas 5L</t>
        </is>
      </c>
      <c r="D12" s="32" t="n">
        <v>860</v>
      </c>
      <c r="E12" s="31" t="n">
        <v>4300</v>
      </c>
      <c r="F12" s="31" t="n">
        <v>0</v>
      </c>
      <c r="G12" s="31" t="n">
        <v>85</v>
      </c>
      <c r="H12" s="32" t="n">
        <v>85</v>
      </c>
      <c r="I12" s="32" t="n">
        <v>85</v>
      </c>
      <c r="J12" s="32" t="n">
        <v>775</v>
      </c>
      <c r="K12" s="31" t="n">
        <v>3875</v>
      </c>
      <c r="L12" s="24" t="inlineStr">
        <is>
          <t>🔴 NoMover (&gt;6M Nac)</t>
        </is>
      </c>
      <c r="M12" s="55" t="n">
        <v>3.984564732</v>
      </c>
      <c r="N12" s="56" t="n">
        <v>3088.04</v>
      </c>
      <c r="O12" s="57" t="n">
        <v>338.69</v>
      </c>
      <c r="P12" s="27" t="inlineStr">
        <is>
          <t>Plan Choque Comercial Nac / Oferta</t>
        </is>
      </c>
    </row>
    <row r="13" ht="20" customHeight="1">
      <c r="A13" s="51" t="inlineStr">
        <is>
          <t>WHITE0020</t>
        </is>
      </c>
      <c r="B13" s="20" t="inlineStr">
        <is>
          <t>AGROWHITE, 20 KG</t>
        </is>
      </c>
      <c r="C13" s="20" t="inlineStr">
        <is>
          <t>Garrafas 20L</t>
        </is>
      </c>
      <c r="D13" s="23" t="n">
        <v>11680</v>
      </c>
      <c r="E13" s="22" t="n">
        <v>233600</v>
      </c>
      <c r="F13" s="22" t="n">
        <v>1100</v>
      </c>
      <c r="G13" s="22" t="n">
        <v>40</v>
      </c>
      <c r="H13" s="23" t="n">
        <v>1140</v>
      </c>
      <c r="I13" s="23" t="n">
        <v>40</v>
      </c>
      <c r="J13" s="23" t="n">
        <v>10540</v>
      </c>
      <c r="K13" s="22" t="n">
        <v>210800</v>
      </c>
      <c r="L13" s="24" t="inlineStr">
        <is>
          <t>🔴 NoMover (&gt;6M Nac)</t>
        </is>
      </c>
      <c r="M13" s="52" t="n">
        <v>0.269282211</v>
      </c>
      <c r="N13" s="53" t="n">
        <v>2838.23</v>
      </c>
      <c r="O13" s="58" t="n">
        <v>10.77</v>
      </c>
      <c r="P13" s="20" t="inlineStr">
        <is>
          <t>Plan Choque Comercial Nac / Oferta</t>
        </is>
      </c>
    </row>
    <row r="14" ht="20" customHeight="1">
      <c r="A14" s="54" t="inlineStr">
        <is>
          <t>SPCE0020</t>
        </is>
      </c>
      <c r="B14" s="27" t="inlineStr">
        <is>
          <t>SPRINTENE</t>
        </is>
      </c>
      <c r="C14" s="27" t="inlineStr">
        <is>
          <t>Garrafas 20L</t>
        </is>
      </c>
      <c r="D14" s="32" t="n">
        <v>640</v>
      </c>
      <c r="E14" s="31" t="n">
        <v>12800</v>
      </c>
      <c r="F14" s="31" t="n">
        <v>0</v>
      </c>
      <c r="G14" s="31" t="n">
        <v>0</v>
      </c>
      <c r="H14" s="32" t="n">
        <v>0</v>
      </c>
      <c r="I14" s="32" t="n">
        <v>0</v>
      </c>
      <c r="J14" s="32" t="n">
        <v>640</v>
      </c>
      <c r="K14" s="31" t="n">
        <v>12800</v>
      </c>
      <c r="L14" s="24" t="inlineStr">
        <is>
          <t>🔴 NoMover (&gt;6M Nac)</t>
        </is>
      </c>
      <c r="M14" s="55" t="n">
        <v>4.198893797</v>
      </c>
      <c r="N14" s="56" t="n">
        <v>2687.29</v>
      </c>
      <c r="O14" s="55" t="n">
        <v>0</v>
      </c>
      <c r="P14" s="27" t="inlineStr">
        <is>
          <t>Sin Demanda Nacional (Inmovilizado Crítico)</t>
        </is>
      </c>
    </row>
    <row r="15" ht="20" customHeight="1">
      <c r="A15" s="51" t="inlineStr">
        <is>
          <t>F-A1000</t>
        </is>
      </c>
      <c r="B15" s="20" t="inlineStr">
        <is>
          <t>FITOLIN AGRO</t>
        </is>
      </c>
      <c r="C15" s="20" t="inlineStr">
        <is>
          <t>Depósito 1000 L</t>
        </is>
      </c>
      <c r="D15" s="23" t="n">
        <v>1000</v>
      </c>
      <c r="E15" s="22" t="n">
        <v>1000000</v>
      </c>
      <c r="F15" s="22" t="n">
        <v>0</v>
      </c>
      <c r="G15" s="22" t="n">
        <v>0</v>
      </c>
      <c r="H15" s="23" t="n">
        <v>0</v>
      </c>
      <c r="I15" s="23" t="n">
        <v>0</v>
      </c>
      <c r="J15" s="23" t="n">
        <v>1000</v>
      </c>
      <c r="K15" s="22" t="n">
        <v>1000000</v>
      </c>
      <c r="L15" s="24" t="inlineStr">
        <is>
          <t>🔴 NoMover (&gt;6M Nac)</t>
        </is>
      </c>
      <c r="M15" s="52" t="n">
        <v>2.106345208</v>
      </c>
      <c r="N15" s="53" t="n">
        <v>2106.35</v>
      </c>
      <c r="O15" s="52" t="n">
        <v>0</v>
      </c>
      <c r="P15" s="20" t="inlineStr">
        <is>
          <t>Sin Demanda Nacional (Inmovilizado Crítico)</t>
        </is>
      </c>
    </row>
    <row r="16" ht="20" customHeight="1">
      <c r="A16" s="54" t="inlineStr">
        <is>
          <t>CALCIO0005</t>
        </is>
      </c>
      <c r="B16" s="27" t="inlineStr">
        <is>
          <t>CALCIAMEC, 5 KG</t>
        </is>
      </c>
      <c r="C16" s="27" t="inlineStr">
        <is>
          <t>Garrafas 5L</t>
        </is>
      </c>
      <c r="D16" s="32" t="n">
        <v>4630</v>
      </c>
      <c r="E16" s="31" t="n">
        <v>23150</v>
      </c>
      <c r="F16" s="31" t="n">
        <v>2425</v>
      </c>
      <c r="G16" s="31" t="n">
        <v>890</v>
      </c>
      <c r="H16" s="32" t="n">
        <v>3315</v>
      </c>
      <c r="I16" s="32" t="n">
        <v>890</v>
      </c>
      <c r="J16" s="32" t="n">
        <v>1315</v>
      </c>
      <c r="K16" s="31" t="n">
        <v>6575</v>
      </c>
      <c r="L16" s="24" t="inlineStr">
        <is>
          <t>🔴 NoMover (&gt;6M Nac)</t>
        </is>
      </c>
      <c r="M16" s="55" t="n">
        <v>1.57814305</v>
      </c>
      <c r="N16" s="56" t="n">
        <v>2075.26</v>
      </c>
      <c r="O16" s="57" t="n">
        <v>1404.55</v>
      </c>
      <c r="P16" s="27" t="inlineStr">
        <is>
          <t>Plan Choque Comercial Nac / Oferta</t>
        </is>
      </c>
    </row>
    <row r="17" ht="20" customHeight="1">
      <c r="A17" s="51" t="inlineStr">
        <is>
          <t>CALCIO0001</t>
        </is>
      </c>
      <c r="B17" s="20" t="inlineStr">
        <is>
          <t>CALCIAMEC</t>
        </is>
      </c>
      <c r="C17" s="20" t="inlineStr">
        <is>
          <t>Botellas 1L</t>
        </is>
      </c>
      <c r="D17" s="23" t="n">
        <v>1200</v>
      </c>
      <c r="E17" s="22" t="n">
        <v>1200</v>
      </c>
      <c r="F17" s="22" t="n">
        <v>0</v>
      </c>
      <c r="G17" s="22" t="n">
        <v>0</v>
      </c>
      <c r="H17" s="23" t="n">
        <v>0</v>
      </c>
      <c r="I17" s="23" t="n">
        <v>0</v>
      </c>
      <c r="J17" s="23" t="n">
        <v>1200</v>
      </c>
      <c r="K17" s="22" t="n">
        <v>1200</v>
      </c>
      <c r="L17" s="24" t="inlineStr">
        <is>
          <t>🔴 NoMover (&gt;6M Nac)</t>
        </is>
      </c>
      <c r="M17" s="52" t="n">
        <v>1.723612921</v>
      </c>
      <c r="N17" s="53" t="n">
        <v>2068.34</v>
      </c>
      <c r="O17" s="52" t="n">
        <v>0</v>
      </c>
      <c r="P17" s="20" t="inlineStr">
        <is>
          <t>Sin Demanda Nacional (Inmovilizado Crítico)</t>
        </is>
      </c>
    </row>
    <row r="18" ht="20" customHeight="1">
      <c r="A18" s="54" t="inlineStr">
        <is>
          <t>FU0001</t>
        </is>
      </c>
      <c r="B18" s="27" t="inlineStr">
        <is>
          <t>FULVIGIN, 1 L</t>
        </is>
      </c>
      <c r="C18" s="27" t="inlineStr">
        <is>
          <t>Botellas 1L</t>
        </is>
      </c>
      <c r="D18" s="32" t="n">
        <v>996</v>
      </c>
      <c r="E18" s="31" t="n">
        <v>996</v>
      </c>
      <c r="F18" s="31" t="n">
        <v>0</v>
      </c>
      <c r="G18" s="31" t="n">
        <v>25</v>
      </c>
      <c r="H18" s="32" t="n">
        <v>25</v>
      </c>
      <c r="I18" s="32" t="n">
        <v>25</v>
      </c>
      <c r="J18" s="32" t="n">
        <v>971</v>
      </c>
      <c r="K18" s="31" t="n">
        <v>971</v>
      </c>
      <c r="L18" s="24" t="inlineStr">
        <is>
          <t>🔴 NoMover (&gt;6M Nac)</t>
        </is>
      </c>
      <c r="M18" s="55" t="n">
        <v>1.689842879</v>
      </c>
      <c r="N18" s="56" t="n">
        <v>1640.84</v>
      </c>
      <c r="O18" s="57" t="n">
        <v>42.25</v>
      </c>
      <c r="P18" s="27" t="inlineStr">
        <is>
          <t>Plan Choque Comercial Nac / Oferta</t>
        </is>
      </c>
    </row>
    <row r="19" ht="20" customHeight="1">
      <c r="A19" s="51" t="inlineStr">
        <is>
          <t>AGZ-M0005</t>
        </is>
      </c>
      <c r="B19" s="20" t="inlineStr">
        <is>
          <t>AGROXILATO-ZN-MN, 5 KG</t>
        </is>
      </c>
      <c r="C19" s="20" t="inlineStr">
        <is>
          <t>Garrafas 5L</t>
        </is>
      </c>
      <c r="D19" s="23" t="n">
        <v>1545</v>
      </c>
      <c r="E19" s="22" t="n">
        <v>7725</v>
      </c>
      <c r="F19" s="22" t="n">
        <v>200</v>
      </c>
      <c r="G19" s="22" t="n">
        <v>580</v>
      </c>
      <c r="H19" s="23" t="n">
        <v>780</v>
      </c>
      <c r="I19" s="23" t="n">
        <v>580</v>
      </c>
      <c r="J19" s="23" t="n">
        <v>765</v>
      </c>
      <c r="K19" s="22" t="n">
        <v>3825</v>
      </c>
      <c r="L19" s="24" t="inlineStr">
        <is>
          <t>🔴 NoMover (&gt;6M Nac)</t>
        </is>
      </c>
      <c r="M19" s="52" t="n">
        <v>1.990086214</v>
      </c>
      <c r="N19" s="53" t="n">
        <v>1522.42</v>
      </c>
      <c r="O19" s="58" t="n">
        <v>1154.25</v>
      </c>
      <c r="P19" s="20" t="inlineStr">
        <is>
          <t>Plan Choque Comercial Nac / Oferta</t>
        </is>
      </c>
    </row>
    <row r="20" ht="20" customHeight="1">
      <c r="A20" s="54" t="inlineStr">
        <is>
          <t>CALCIO0020</t>
        </is>
      </c>
      <c r="B20" s="27" t="inlineStr">
        <is>
          <t>CALCIAMEC</t>
        </is>
      </c>
      <c r="C20" s="27" t="inlineStr">
        <is>
          <t>Garrafas 20L</t>
        </is>
      </c>
      <c r="D20" s="32" t="n">
        <v>2400</v>
      </c>
      <c r="E20" s="31" t="n">
        <v>48000</v>
      </c>
      <c r="F20" s="31" t="n">
        <v>1000</v>
      </c>
      <c r="G20" s="31" t="n">
        <v>320</v>
      </c>
      <c r="H20" s="32" t="n">
        <v>1320</v>
      </c>
      <c r="I20" s="32" t="n">
        <v>320</v>
      </c>
      <c r="J20" s="32" t="n">
        <v>1080</v>
      </c>
      <c r="K20" s="31" t="n">
        <v>21600</v>
      </c>
      <c r="L20" s="24" t="inlineStr">
        <is>
          <t>🔴 NoMover (&gt;6M Nac)</t>
        </is>
      </c>
      <c r="M20" s="55" t="n">
        <v>1.391901777</v>
      </c>
      <c r="N20" s="56" t="n">
        <v>1503.25</v>
      </c>
      <c r="O20" s="57" t="n">
        <v>445.41</v>
      </c>
      <c r="P20" s="27" t="inlineStr">
        <is>
          <t>Plan Choque Comercial Nac / Oferta</t>
        </is>
      </c>
    </row>
    <row r="21" ht="20" customHeight="1">
      <c r="A21" s="51" t="inlineStr">
        <is>
          <t>ANAE0020</t>
        </is>
      </c>
      <c r="B21" s="20" t="inlineStr">
        <is>
          <t>ALCAPLANT NEW AE, 20 KG</t>
        </is>
      </c>
      <c r="C21" s="20" t="inlineStr">
        <is>
          <t>Garrafas 20L</t>
        </is>
      </c>
      <c r="D21" s="23" t="n">
        <v>16020</v>
      </c>
      <c r="E21" s="22" t="n">
        <v>320400</v>
      </c>
      <c r="F21" s="22" t="n">
        <v>7700</v>
      </c>
      <c r="G21" s="22" t="n">
        <v>4800</v>
      </c>
      <c r="H21" s="23" t="n">
        <v>12500</v>
      </c>
      <c r="I21" s="23" t="n">
        <v>4800</v>
      </c>
      <c r="J21" s="23" t="n">
        <v>3520</v>
      </c>
      <c r="K21" s="22" t="n">
        <v>70400</v>
      </c>
      <c r="L21" s="24" t="inlineStr">
        <is>
          <t>🔴 NoMover (&gt;6M Nac)</t>
        </is>
      </c>
      <c r="M21" s="52" t="n">
        <v>0.420535887</v>
      </c>
      <c r="N21" s="53" t="n">
        <v>1480.29</v>
      </c>
      <c r="O21" s="58" t="n">
        <v>2018.57</v>
      </c>
      <c r="P21" s="20" t="inlineStr">
        <is>
          <t>Plan Choque Comercial Nac / Oferta</t>
        </is>
      </c>
    </row>
    <row r="22" ht="20" customHeight="1">
      <c r="A22" s="54" t="inlineStr">
        <is>
          <t>CSIL0005</t>
        </is>
      </c>
      <c r="B22" s="27" t="inlineStr">
        <is>
          <t>FITOKONTROL-K, 5 L</t>
        </is>
      </c>
      <c r="C22" s="27" t="inlineStr">
        <is>
          <t>Garrafas 5L</t>
        </is>
      </c>
      <c r="D22" s="32" t="n">
        <v>800</v>
      </c>
      <c r="E22" s="31" t="n">
        <v>4000</v>
      </c>
      <c r="F22" s="31" t="n">
        <v>0</v>
      </c>
      <c r="G22" s="31" t="n">
        <v>65</v>
      </c>
      <c r="H22" s="32" t="n">
        <v>65</v>
      </c>
      <c r="I22" s="32" t="n">
        <v>65</v>
      </c>
      <c r="J22" s="32" t="n">
        <v>735</v>
      </c>
      <c r="K22" s="31" t="n">
        <v>3675</v>
      </c>
      <c r="L22" s="24" t="inlineStr">
        <is>
          <t>🔴 NoMover (&gt;6M Nac)</t>
        </is>
      </c>
      <c r="M22" s="55" t="n">
        <v>1.872598763</v>
      </c>
      <c r="N22" s="56" t="n">
        <v>1376.36</v>
      </c>
      <c r="O22" s="57" t="n">
        <v>121.72</v>
      </c>
      <c r="P22" s="27" t="inlineStr">
        <is>
          <t>Plan Choque Comercial Nac / Oferta</t>
        </is>
      </c>
    </row>
    <row r="23" ht="20" customHeight="1">
      <c r="A23" s="51" t="inlineStr">
        <is>
          <t>BR-59AE0005</t>
        </is>
      </c>
      <c r="B23" s="20" t="inlineStr">
        <is>
          <t>BR-59 AE, 5 KG</t>
        </is>
      </c>
      <c r="C23" s="20" t="inlineStr">
        <is>
          <t>Garrafas 5L</t>
        </is>
      </c>
      <c r="D23" s="23" t="n">
        <v>2715</v>
      </c>
      <c r="E23" s="22" t="n">
        <v>13575</v>
      </c>
      <c r="F23" s="22" t="n">
        <v>0</v>
      </c>
      <c r="G23" s="22" t="n">
        <v>0</v>
      </c>
      <c r="H23" s="23" t="n">
        <v>0</v>
      </c>
      <c r="I23" s="23" t="n">
        <v>0</v>
      </c>
      <c r="J23" s="23" t="n">
        <v>2715</v>
      </c>
      <c r="K23" s="22" t="n">
        <v>13575</v>
      </c>
      <c r="L23" s="24" t="inlineStr">
        <is>
          <t>🔴 NoMover (&gt;6M Nac)</t>
        </is>
      </c>
      <c r="M23" s="52" t="n">
        <v>0.482514194</v>
      </c>
      <c r="N23" s="53" t="n">
        <v>1310.03</v>
      </c>
      <c r="O23" s="52" t="n">
        <v>0</v>
      </c>
      <c r="P23" s="20" t="inlineStr">
        <is>
          <t>Sin Demanda Nacional (Inmovilizado Crítico)</t>
        </is>
      </c>
    </row>
    <row r="24" ht="20" customHeight="1">
      <c r="A24" s="54" t="inlineStr">
        <is>
          <t>AGFEL0001</t>
        </is>
      </c>
      <c r="B24" s="27" t="inlineStr">
        <is>
          <t>AGROXILATO-FE-L, 1 L</t>
        </is>
      </c>
      <c r="C24" s="27" t="inlineStr">
        <is>
          <t>Botellas 1L</t>
        </is>
      </c>
      <c r="D24" s="32" t="n">
        <v>732</v>
      </c>
      <c r="E24" s="31" t="n">
        <v>732</v>
      </c>
      <c r="F24" s="31" t="n">
        <v>0</v>
      </c>
      <c r="G24" s="31" t="n">
        <v>0</v>
      </c>
      <c r="H24" s="32" t="n">
        <v>0</v>
      </c>
      <c r="I24" s="32" t="n">
        <v>0</v>
      </c>
      <c r="J24" s="32" t="n">
        <v>732</v>
      </c>
      <c r="K24" s="31" t="n">
        <v>732</v>
      </c>
      <c r="L24" s="24" t="inlineStr">
        <is>
          <t>🔴 NoMover (&gt;6M Nac)</t>
        </is>
      </c>
      <c r="M24" s="55" t="n">
        <v>1.693123212</v>
      </c>
      <c r="N24" s="56" t="n">
        <v>1239.37</v>
      </c>
      <c r="O24" s="55" t="n">
        <v>0</v>
      </c>
      <c r="P24" s="27" t="inlineStr">
        <is>
          <t>Sin Demanda Nacional (Inmovilizado Crítico)</t>
        </is>
      </c>
    </row>
    <row r="25" ht="20" customHeight="1">
      <c r="A25" s="51" t="inlineStr">
        <is>
          <t>C-CU0001</t>
        </is>
      </c>
      <c r="B25" s="20" t="inlineStr">
        <is>
          <t>CODICOBRE</t>
        </is>
      </c>
      <c r="C25" s="20" t="inlineStr">
        <is>
          <t>Botellas 1L</t>
        </is>
      </c>
      <c r="D25" s="23" t="n">
        <v>588</v>
      </c>
      <c r="E25" s="22" t="n">
        <v>588</v>
      </c>
      <c r="F25" s="22" t="n">
        <v>0</v>
      </c>
      <c r="G25" s="22" t="n">
        <v>76</v>
      </c>
      <c r="H25" s="23" t="n">
        <v>76</v>
      </c>
      <c r="I25" s="23" t="n">
        <v>76</v>
      </c>
      <c r="J25" s="23" t="n">
        <v>512</v>
      </c>
      <c r="K25" s="22" t="n">
        <v>512</v>
      </c>
      <c r="L25" s="24" t="inlineStr">
        <is>
          <t>🔴 NoMover (&gt;6M Nac)</t>
        </is>
      </c>
      <c r="M25" s="52" t="n">
        <v>2.209337264</v>
      </c>
      <c r="N25" s="53" t="n">
        <v>1131.18</v>
      </c>
      <c r="O25" s="58" t="n">
        <v>167.91</v>
      </c>
      <c r="P25" s="20" t="inlineStr">
        <is>
          <t>Plan Choque Comercial Nac / Oferta</t>
        </is>
      </c>
    </row>
    <row r="26" ht="20" customHeight="1">
      <c r="A26" s="54" t="inlineStr">
        <is>
          <t>PT0001</t>
        </is>
      </c>
      <c r="B26" s="27" t="inlineStr">
        <is>
          <t>AGROPOTASION, 1 L</t>
        </is>
      </c>
      <c r="C26" s="27" t="inlineStr">
        <is>
          <t>Botellas 1L</t>
        </is>
      </c>
      <c r="D26" s="32" t="n">
        <v>1104</v>
      </c>
      <c r="E26" s="31" t="n">
        <v>1104</v>
      </c>
      <c r="F26" s="31" t="n">
        <v>0</v>
      </c>
      <c r="G26" s="31" t="n">
        <v>221</v>
      </c>
      <c r="H26" s="32" t="n">
        <v>221</v>
      </c>
      <c r="I26" s="32" t="n">
        <v>221</v>
      </c>
      <c r="J26" s="32" t="n">
        <v>883</v>
      </c>
      <c r="K26" s="31" t="n">
        <v>883</v>
      </c>
      <c r="L26" s="24" t="inlineStr">
        <is>
          <t>🔴 NoMover (&gt;6M Nac)</t>
        </is>
      </c>
      <c r="M26" s="55" t="n">
        <v>1.269033263</v>
      </c>
      <c r="N26" s="56" t="n">
        <v>1120.56</v>
      </c>
      <c r="O26" s="57" t="n">
        <v>280.46</v>
      </c>
      <c r="P26" s="27" t="inlineStr">
        <is>
          <t>Plan Choque Comercial Nac / Oferta</t>
        </is>
      </c>
    </row>
    <row r="27" ht="20" customHeight="1">
      <c r="A27" s="51" t="inlineStr">
        <is>
          <t>FROST-P0005</t>
        </is>
      </c>
      <c r="B27" s="20" t="inlineStr">
        <is>
          <t>CODIFROST PLUS, 5 L</t>
        </is>
      </c>
      <c r="C27" s="20" t="inlineStr">
        <is>
          <t>Garrafas 5L</t>
        </is>
      </c>
      <c r="D27" s="23" t="n">
        <v>480</v>
      </c>
      <c r="E27" s="22" t="n">
        <v>2400</v>
      </c>
      <c r="F27" s="22" t="n">
        <v>0</v>
      </c>
      <c r="G27" s="22" t="n">
        <v>0</v>
      </c>
      <c r="H27" s="23" t="n">
        <v>0</v>
      </c>
      <c r="I27" s="23" t="n">
        <v>0</v>
      </c>
      <c r="J27" s="23" t="n">
        <v>480</v>
      </c>
      <c r="K27" s="22" t="n">
        <v>2400</v>
      </c>
      <c r="L27" s="24" t="inlineStr">
        <is>
          <t>🔴 NoMover (&gt;6M Nac)</t>
        </is>
      </c>
      <c r="M27" s="52" t="n">
        <v>1.958383848</v>
      </c>
      <c r="N27" s="53" t="n">
        <v>940.02</v>
      </c>
      <c r="O27" s="52" t="n">
        <v>0</v>
      </c>
      <c r="P27" s="20" t="inlineStr">
        <is>
          <t>Sin Demanda Nacional (Inmovilizado Crítico)</t>
        </is>
      </c>
    </row>
    <row r="28" ht="20" customHeight="1">
      <c r="A28" s="54" t="inlineStr">
        <is>
          <t>SSEG0005</t>
        </is>
      </c>
      <c r="B28" s="27" t="inlineStr">
        <is>
          <t>SALWAX CALCIO EGIPTO, 5 KG</t>
        </is>
      </c>
      <c r="C28" s="27" t="inlineStr">
        <is>
          <t>Garrafas 5L</t>
        </is>
      </c>
      <c r="D28" s="32" t="n">
        <v>715</v>
      </c>
      <c r="E28" s="31" t="n">
        <v>3575</v>
      </c>
      <c r="F28" s="31" t="n">
        <v>0</v>
      </c>
      <c r="G28" s="31" t="n">
        <v>0</v>
      </c>
      <c r="H28" s="32" t="n">
        <v>0</v>
      </c>
      <c r="I28" s="32" t="n">
        <v>0</v>
      </c>
      <c r="J28" s="32" t="n">
        <v>715</v>
      </c>
      <c r="K28" s="31" t="n">
        <v>3575</v>
      </c>
      <c r="L28" s="24" t="inlineStr">
        <is>
          <t>🔴 NoMover (&gt;6M Nac)</t>
        </is>
      </c>
      <c r="M28" s="55" t="n">
        <v>1.305743992</v>
      </c>
      <c r="N28" s="56" t="n">
        <v>933.61</v>
      </c>
      <c r="O28" s="55" t="n">
        <v>0</v>
      </c>
      <c r="P28" s="27" t="inlineStr">
        <is>
          <t>Sin Demanda Nacional (Inmovilizado Crítico)</t>
        </is>
      </c>
    </row>
    <row r="29" ht="20" customHeight="1">
      <c r="A29" s="51" t="inlineStr">
        <is>
          <t>S0200</t>
        </is>
      </c>
      <c r="B29" s="20" t="inlineStr">
        <is>
          <t>SAL-WAX STAR, 200 L</t>
        </is>
      </c>
      <c r="C29" s="20" t="inlineStr">
        <is>
          <t>Depósito 200 L</t>
        </is>
      </c>
      <c r="D29" s="23" t="n">
        <v>11200</v>
      </c>
      <c r="E29" s="22" t="n">
        <v>2240000</v>
      </c>
      <c r="F29" s="22" t="n">
        <v>5600</v>
      </c>
      <c r="G29" s="22" t="n">
        <v>4000</v>
      </c>
      <c r="H29" s="23" t="n">
        <v>9600</v>
      </c>
      <c r="I29" s="23" t="n">
        <v>4000</v>
      </c>
      <c r="J29" s="23" t="n">
        <v>1600</v>
      </c>
      <c r="K29" s="22" t="n">
        <v>320000</v>
      </c>
      <c r="L29" s="24" t="inlineStr">
        <is>
          <t>🔴 NoMover (&gt;6M Nac)</t>
        </is>
      </c>
      <c r="M29" s="52" t="n">
        <v>0.529995259</v>
      </c>
      <c r="N29" s="53" t="n">
        <v>847.99</v>
      </c>
      <c r="O29" s="58" t="n">
        <v>2119.98</v>
      </c>
      <c r="P29" s="20" t="inlineStr">
        <is>
          <t>Plan Choque Comercial Nac / Oferta</t>
        </is>
      </c>
    </row>
    <row r="30" ht="20" customHeight="1">
      <c r="A30" s="54" t="inlineStr">
        <is>
          <t>PT1000</t>
        </is>
      </c>
      <c r="B30" s="27" t="inlineStr">
        <is>
          <t>AGROPOTASION, 1000 L</t>
        </is>
      </c>
      <c r="C30" s="27" t="inlineStr">
        <is>
          <t>Depósito 1000 L</t>
        </is>
      </c>
      <c r="D30" s="32" t="n">
        <v>1000</v>
      </c>
      <c r="E30" s="31" t="n">
        <v>1000000</v>
      </c>
      <c r="F30" s="31" t="n">
        <v>0</v>
      </c>
      <c r="G30" s="31" t="n">
        <v>0</v>
      </c>
      <c r="H30" s="32" t="n">
        <v>0</v>
      </c>
      <c r="I30" s="32" t="n">
        <v>0</v>
      </c>
      <c r="J30" s="32" t="n">
        <v>1000</v>
      </c>
      <c r="K30" s="31" t="n">
        <v>1000000</v>
      </c>
      <c r="L30" s="24" t="inlineStr">
        <is>
          <t>🔴 NoMover (&gt;6M Nac)</t>
        </is>
      </c>
      <c r="M30" s="55" t="n">
        <v>0.843079557</v>
      </c>
      <c r="N30" s="56" t="n">
        <v>843.08</v>
      </c>
      <c r="O30" s="55" t="n">
        <v>0</v>
      </c>
      <c r="P30" s="27" t="inlineStr">
        <is>
          <t>Sin Demanda Nacional (Inmovilizado Crítico)</t>
        </is>
      </c>
    </row>
    <row r="31" ht="20" customHeight="1">
      <c r="A31" s="51" t="inlineStr">
        <is>
          <t>BR-590005</t>
        </is>
      </c>
      <c r="B31" s="20" t="inlineStr">
        <is>
          <t>BR-59, 5 KG</t>
        </is>
      </c>
      <c r="C31" s="20" t="inlineStr">
        <is>
          <t>Garrafas 5L</t>
        </is>
      </c>
      <c r="D31" s="23" t="n">
        <v>3580</v>
      </c>
      <c r="E31" s="22" t="n">
        <v>17900</v>
      </c>
      <c r="F31" s="22" t="n">
        <v>0</v>
      </c>
      <c r="G31" s="22" t="n">
        <v>1455</v>
      </c>
      <c r="H31" s="23" t="n">
        <v>1455</v>
      </c>
      <c r="I31" s="23" t="n">
        <v>1455</v>
      </c>
      <c r="J31" s="23" t="n">
        <v>2125</v>
      </c>
      <c r="K31" s="22" t="n">
        <v>10625</v>
      </c>
      <c r="L31" s="24" t="inlineStr">
        <is>
          <t>🔴 NoMover (&gt;6M Nac)</t>
        </is>
      </c>
      <c r="M31" s="52" t="n">
        <v>0.378253729</v>
      </c>
      <c r="N31" s="53" t="n">
        <v>803.79</v>
      </c>
      <c r="O31" s="58" t="n">
        <v>550.36</v>
      </c>
      <c r="P31" s="20" t="inlineStr">
        <is>
          <t>Plan Choque Comercial Nac / Oferta</t>
        </is>
      </c>
    </row>
    <row r="32" ht="20" customHeight="1">
      <c r="A32" s="54" t="inlineStr">
        <is>
          <t>AVAN0001</t>
        </is>
      </c>
      <c r="B32" s="27" t="inlineStr">
        <is>
          <t>CODI-FLOR AVANCE, 1 L</t>
        </is>
      </c>
      <c r="C32" s="27" t="inlineStr">
        <is>
          <t>Botellas 1L</t>
        </is>
      </c>
      <c r="D32" s="32" t="n">
        <v>324</v>
      </c>
      <c r="E32" s="31" t="n">
        <v>324</v>
      </c>
      <c r="F32" s="31" t="n">
        <v>0</v>
      </c>
      <c r="G32" s="31" t="n">
        <v>43</v>
      </c>
      <c r="H32" s="32" t="n">
        <v>43</v>
      </c>
      <c r="I32" s="32" t="n">
        <v>43</v>
      </c>
      <c r="J32" s="32" t="n">
        <v>281</v>
      </c>
      <c r="K32" s="31" t="n">
        <v>281</v>
      </c>
      <c r="L32" s="24" t="inlineStr">
        <is>
          <t>🔴 NoMover (&gt;6M Nac)</t>
        </is>
      </c>
      <c r="M32" s="55" t="n">
        <v>2.666815882</v>
      </c>
      <c r="N32" s="56" t="n">
        <v>749.38</v>
      </c>
      <c r="O32" s="57" t="n">
        <v>114.67</v>
      </c>
      <c r="P32" s="27" t="inlineStr">
        <is>
          <t>Plan Choque Comercial Nac / Oferta</t>
        </is>
      </c>
    </row>
    <row r="33" ht="20" customHeight="1">
      <c r="A33" s="51" t="inlineStr">
        <is>
          <t>FU0005</t>
        </is>
      </c>
      <c r="B33" s="20" t="inlineStr">
        <is>
          <t>FULVIGIN, 5 L</t>
        </is>
      </c>
      <c r="C33" s="20" t="inlineStr">
        <is>
          <t>Garrafas 5L</t>
        </is>
      </c>
      <c r="D33" s="23" t="n">
        <v>600</v>
      </c>
      <c r="E33" s="22" t="n">
        <v>3000</v>
      </c>
      <c r="F33" s="22" t="n">
        <v>0</v>
      </c>
      <c r="G33" s="22" t="n">
        <v>20</v>
      </c>
      <c r="H33" s="23" t="n">
        <v>20</v>
      </c>
      <c r="I33" s="23" t="n">
        <v>20</v>
      </c>
      <c r="J33" s="23" t="n">
        <v>580</v>
      </c>
      <c r="K33" s="22" t="n">
        <v>2900</v>
      </c>
      <c r="L33" s="24" t="inlineStr">
        <is>
          <t>🔴 NoMover (&gt;6M Nac)</t>
        </is>
      </c>
      <c r="M33" s="52" t="n">
        <v>1.221485831</v>
      </c>
      <c r="N33" s="53" t="n">
        <v>708.46</v>
      </c>
      <c r="O33" s="58" t="n">
        <v>24.43</v>
      </c>
      <c r="P33" s="20" t="inlineStr">
        <is>
          <t>Plan Choque Comercial Nac / Oferta</t>
        </is>
      </c>
    </row>
    <row r="34" ht="20" customHeight="1">
      <c r="A34" s="54" t="inlineStr">
        <is>
          <t>G30005</t>
        </is>
      </c>
      <c r="B34" s="27" t="inlineStr">
        <is>
          <t>GREEN-UP, 5 L</t>
        </is>
      </c>
      <c r="C34" s="27" t="inlineStr">
        <is>
          <t>Garrafas 5L</t>
        </is>
      </c>
      <c r="D34" s="32" t="n">
        <v>400</v>
      </c>
      <c r="E34" s="31" t="n">
        <v>2000</v>
      </c>
      <c r="F34" s="31" t="n">
        <v>0</v>
      </c>
      <c r="G34" s="31" t="n">
        <v>40</v>
      </c>
      <c r="H34" s="32" t="n">
        <v>40</v>
      </c>
      <c r="I34" s="32" t="n">
        <v>40</v>
      </c>
      <c r="J34" s="32" t="n">
        <v>360</v>
      </c>
      <c r="K34" s="31" t="n">
        <v>1800</v>
      </c>
      <c r="L34" s="24" t="inlineStr">
        <is>
          <t>🔴 NoMover (&gt;6M Nac)</t>
        </is>
      </c>
      <c r="M34" s="55" t="n">
        <v>1.937974417</v>
      </c>
      <c r="N34" s="56" t="n">
        <v>697.67</v>
      </c>
      <c r="O34" s="57" t="n">
        <v>77.52</v>
      </c>
      <c r="P34" s="27" t="inlineStr">
        <is>
          <t>Plan Choque Comercial Nac / Oferta</t>
        </is>
      </c>
    </row>
    <row r="35" ht="20" customHeight="1">
      <c r="A35" s="51" t="inlineStr">
        <is>
          <t>CBROT0005</t>
        </is>
      </c>
      <c r="B35" s="20" t="inlineStr">
        <is>
          <t>CODIBROT, 5 L</t>
        </is>
      </c>
      <c r="C35" s="20" t="inlineStr">
        <is>
          <t>Garrafas 5L</t>
        </is>
      </c>
      <c r="D35" s="23" t="n">
        <v>720</v>
      </c>
      <c r="E35" s="22" t="n">
        <v>3600</v>
      </c>
      <c r="F35" s="22" t="n">
        <v>0</v>
      </c>
      <c r="G35" s="22" t="n">
        <v>215</v>
      </c>
      <c r="H35" s="23" t="n">
        <v>215</v>
      </c>
      <c r="I35" s="23" t="n">
        <v>215</v>
      </c>
      <c r="J35" s="23" t="n">
        <v>505</v>
      </c>
      <c r="K35" s="22" t="n">
        <v>2525</v>
      </c>
      <c r="L35" s="24" t="inlineStr">
        <is>
          <t>🔴 NoMover (&gt;6M Nac)</t>
        </is>
      </c>
      <c r="M35" s="52" t="n">
        <v>1.293061752</v>
      </c>
      <c r="N35" s="53" t="n">
        <v>653</v>
      </c>
      <c r="O35" s="58" t="n">
        <v>278.01</v>
      </c>
      <c r="P35" s="20" t="inlineStr">
        <is>
          <t>Plan Choque Comercial Nac / Oferta</t>
        </is>
      </c>
    </row>
    <row r="36" ht="20" customHeight="1">
      <c r="A36" s="54" t="inlineStr">
        <is>
          <t>BC0005</t>
        </is>
      </c>
      <c r="B36" s="27" t="inlineStr">
        <is>
          <t>BITTER-CAL, 5 KG</t>
        </is>
      </c>
      <c r="C36" s="27" t="inlineStr">
        <is>
          <t>Garrafas 5L</t>
        </is>
      </c>
      <c r="D36" s="32" t="n">
        <v>545</v>
      </c>
      <c r="E36" s="31" t="n">
        <v>2725</v>
      </c>
      <c r="F36" s="31" t="n">
        <v>0</v>
      </c>
      <c r="G36" s="31" t="n">
        <v>0</v>
      </c>
      <c r="H36" s="32" t="n">
        <v>0</v>
      </c>
      <c r="I36" s="32" t="n">
        <v>0</v>
      </c>
      <c r="J36" s="32" t="n">
        <v>545</v>
      </c>
      <c r="K36" s="31" t="n">
        <v>2725</v>
      </c>
      <c r="L36" s="24" t="inlineStr">
        <is>
          <t>🔴 NoMover (&gt;6M Nac)</t>
        </is>
      </c>
      <c r="M36" s="55" t="n">
        <v>1.158218336</v>
      </c>
      <c r="N36" s="56" t="n">
        <v>631.23</v>
      </c>
      <c r="O36" s="55" t="n">
        <v>0</v>
      </c>
      <c r="P36" s="27" t="inlineStr">
        <is>
          <t>Sin Demanda Nacional (Inmovilizado Crítico)</t>
        </is>
      </c>
    </row>
    <row r="37" ht="20" customHeight="1">
      <c r="A37" s="51" t="inlineStr">
        <is>
          <t>CBROT0020</t>
        </is>
      </c>
      <c r="B37" s="20" t="inlineStr">
        <is>
          <t>CODIBROT, 20 L</t>
        </is>
      </c>
      <c r="C37" s="20" t="inlineStr">
        <is>
          <t>Garrafas 20L</t>
        </is>
      </c>
      <c r="D37" s="23" t="n">
        <v>620</v>
      </c>
      <c r="E37" s="22" t="n">
        <v>12400</v>
      </c>
      <c r="F37" s="22" t="n">
        <v>0</v>
      </c>
      <c r="G37" s="22" t="n">
        <v>100</v>
      </c>
      <c r="H37" s="23" t="n">
        <v>100</v>
      </c>
      <c r="I37" s="23" t="n">
        <v>100</v>
      </c>
      <c r="J37" s="23" t="n">
        <v>520</v>
      </c>
      <c r="K37" s="22" t="n">
        <v>10400</v>
      </c>
      <c r="L37" s="24" t="inlineStr">
        <is>
          <t>🔴 NoMover (&gt;6M Nac)</t>
        </is>
      </c>
      <c r="M37" s="52" t="n">
        <v>1.166121141</v>
      </c>
      <c r="N37" s="53" t="n">
        <v>606.38</v>
      </c>
      <c r="O37" s="58" t="n">
        <v>116.61</v>
      </c>
      <c r="P37" s="20" t="inlineStr">
        <is>
          <t>Plan Choque Comercial Nac / Oferta</t>
        </is>
      </c>
    </row>
    <row r="38" ht="20" customHeight="1">
      <c r="A38" s="54" t="inlineStr">
        <is>
          <t>SPCE2B0001</t>
        </is>
      </c>
      <c r="B38" s="27" t="inlineStr">
        <is>
          <t>SPRINTENE CON BORO, 1 L</t>
        </is>
      </c>
      <c r="C38" s="27" t="inlineStr">
        <is>
          <t>Botellas 1L</t>
        </is>
      </c>
      <c r="D38" s="32" t="n">
        <v>168</v>
      </c>
      <c r="E38" s="31" t="n">
        <v>168</v>
      </c>
      <c r="F38" s="31" t="n">
        <v>0</v>
      </c>
      <c r="G38" s="31" t="n">
        <v>78</v>
      </c>
      <c r="H38" s="32" t="n">
        <v>78</v>
      </c>
      <c r="I38" s="32" t="n">
        <v>78</v>
      </c>
      <c r="J38" s="32" t="n">
        <v>90</v>
      </c>
      <c r="K38" s="31" t="n">
        <v>90</v>
      </c>
      <c r="L38" s="24" t="inlineStr">
        <is>
          <t>🔴 NoMover (&gt;6M Nac)</t>
        </is>
      </c>
      <c r="M38" s="55" t="n">
        <v>5.748149757</v>
      </c>
      <c r="N38" s="56" t="n">
        <v>517.33</v>
      </c>
      <c r="O38" s="57" t="n">
        <v>448.36</v>
      </c>
      <c r="P38" s="27" t="inlineStr">
        <is>
          <t>Plan Choque Comercial Nac / Oferta</t>
        </is>
      </c>
    </row>
    <row r="39" ht="20" customHeight="1">
      <c r="A39" s="51" t="inlineStr">
        <is>
          <t>AGMNP0005</t>
        </is>
      </c>
      <c r="B39" s="20" t="inlineStr">
        <is>
          <t>AGROXILATO MN PLUS, 5 KG</t>
        </is>
      </c>
      <c r="C39" s="20" t="inlineStr">
        <is>
          <t>Garrafas 5L</t>
        </is>
      </c>
      <c r="D39" s="23" t="n">
        <v>510</v>
      </c>
      <c r="E39" s="22" t="n">
        <v>2550</v>
      </c>
      <c r="F39" s="22" t="n">
        <v>0</v>
      </c>
      <c r="G39" s="22" t="n">
        <v>240</v>
      </c>
      <c r="H39" s="23" t="n">
        <v>240</v>
      </c>
      <c r="I39" s="23" t="n">
        <v>240</v>
      </c>
      <c r="J39" s="23" t="n">
        <v>270</v>
      </c>
      <c r="K39" s="22" t="n">
        <v>1350</v>
      </c>
      <c r="L39" s="24" t="inlineStr">
        <is>
          <t>🔴 NoMover (&gt;6M Nac)</t>
        </is>
      </c>
      <c r="M39" s="52" t="n">
        <v>1.88519534</v>
      </c>
      <c r="N39" s="53" t="n">
        <v>509</v>
      </c>
      <c r="O39" s="58" t="n">
        <v>452.45</v>
      </c>
      <c r="P39" s="20" t="inlineStr">
        <is>
          <t>Plan Choque Comercial Nac / Oferta</t>
        </is>
      </c>
    </row>
    <row r="40" ht="20" customHeight="1">
      <c r="A40" s="54" t="inlineStr">
        <is>
          <t>S0005</t>
        </is>
      </c>
      <c r="B40" s="27" t="inlineStr">
        <is>
          <t>SAL-WAX STAR, 5 L</t>
        </is>
      </c>
      <c r="C40" s="27" t="inlineStr">
        <is>
          <t>Garrafas 5L</t>
        </is>
      </c>
      <c r="D40" s="32" t="n">
        <v>800</v>
      </c>
      <c r="E40" s="31" t="n">
        <v>4000</v>
      </c>
      <c r="F40" s="31" t="n">
        <v>0</v>
      </c>
      <c r="G40" s="31" t="n">
        <v>90</v>
      </c>
      <c r="H40" s="32" t="n">
        <v>90</v>
      </c>
      <c r="I40" s="32" t="n">
        <v>90</v>
      </c>
      <c r="J40" s="32" t="n">
        <v>710</v>
      </c>
      <c r="K40" s="31" t="n">
        <v>3550</v>
      </c>
      <c r="L40" s="24" t="inlineStr">
        <is>
          <t>🔴 NoMover (&gt;6M Nac)</t>
        </is>
      </c>
      <c r="M40" s="55" t="n">
        <v>0.663997466</v>
      </c>
      <c r="N40" s="56" t="n">
        <v>471.44</v>
      </c>
      <c r="O40" s="57" t="n">
        <v>59.76</v>
      </c>
      <c r="P40" s="27" t="inlineStr">
        <is>
          <t>Plan Choque Comercial Nac / Oferta</t>
        </is>
      </c>
    </row>
    <row r="41" ht="20" customHeight="1">
      <c r="A41" s="51" t="inlineStr">
        <is>
          <t>AGRMG0005</t>
        </is>
      </c>
      <c r="B41" s="20" t="inlineStr">
        <is>
          <t>AGROXIGREEN-MG, 5 L</t>
        </is>
      </c>
      <c r="C41" s="20" t="inlineStr">
        <is>
          <t>Garrafas 5L</t>
        </is>
      </c>
      <c r="D41" s="23" t="n">
        <v>775</v>
      </c>
      <c r="E41" s="22" t="n">
        <v>3875</v>
      </c>
      <c r="F41" s="22" t="n">
        <v>0</v>
      </c>
      <c r="G41" s="22" t="n">
        <v>475</v>
      </c>
      <c r="H41" s="23" t="n">
        <v>475</v>
      </c>
      <c r="I41" s="23" t="n">
        <v>475</v>
      </c>
      <c r="J41" s="23" t="n">
        <v>300</v>
      </c>
      <c r="K41" s="22" t="n">
        <v>1500</v>
      </c>
      <c r="L41" s="24" t="inlineStr">
        <is>
          <t>🔴 NoMover (&gt;6M Nac)</t>
        </is>
      </c>
      <c r="M41" s="52" t="n">
        <v>1.407487685</v>
      </c>
      <c r="N41" s="53" t="n">
        <v>422.25</v>
      </c>
      <c r="O41" s="58" t="n">
        <v>668.5599999999999</v>
      </c>
      <c r="P41" s="20" t="inlineStr">
        <is>
          <t>Plan Choque Comercial Nac / Oferta</t>
        </is>
      </c>
    </row>
    <row r="42" ht="20" customHeight="1">
      <c r="A42" s="54" t="inlineStr">
        <is>
          <t>C-GLB0005</t>
        </is>
      </c>
      <c r="B42" s="27" t="inlineStr">
        <is>
          <t>CODIORGAN GLB, 5 KG</t>
        </is>
      </c>
      <c r="C42" s="27" t="inlineStr">
        <is>
          <t>Garrafas 5L</t>
        </is>
      </c>
      <c r="D42" s="32" t="n">
        <v>265</v>
      </c>
      <c r="E42" s="31" t="n">
        <v>1325</v>
      </c>
      <c r="F42" s="31" t="n">
        <v>0</v>
      </c>
      <c r="G42" s="31" t="n">
        <v>0</v>
      </c>
      <c r="H42" s="32" t="n">
        <v>0</v>
      </c>
      <c r="I42" s="32" t="n">
        <v>0</v>
      </c>
      <c r="J42" s="32" t="n">
        <v>265</v>
      </c>
      <c r="K42" s="31" t="n">
        <v>1325</v>
      </c>
      <c r="L42" s="24" t="inlineStr">
        <is>
          <t>🔴 NoMover (&gt;6M Nac)</t>
        </is>
      </c>
      <c r="M42" s="55" t="n">
        <v>1.575231243</v>
      </c>
      <c r="N42" s="56" t="n">
        <v>417.44</v>
      </c>
      <c r="O42" s="55" t="n">
        <v>0</v>
      </c>
      <c r="P42" s="27" t="inlineStr">
        <is>
          <t>Sin Demanda Nacional (Inmovilizado Crítico)</t>
        </is>
      </c>
    </row>
    <row r="43" ht="20" customHeight="1">
      <c r="A43" s="51" t="inlineStr">
        <is>
          <t>NI0005</t>
        </is>
      </c>
      <c r="B43" s="20" t="inlineStr">
        <is>
          <t>NUTRICALE</t>
        </is>
      </c>
      <c r="C43" s="20" t="inlineStr">
        <is>
          <t>Garrafas 5L</t>
        </is>
      </c>
      <c r="D43" s="23" t="n">
        <v>400</v>
      </c>
      <c r="E43" s="22" t="n">
        <v>2000</v>
      </c>
      <c r="F43" s="22" t="n">
        <v>0</v>
      </c>
      <c r="G43" s="22" t="n">
        <v>0</v>
      </c>
      <c r="H43" s="23" t="n">
        <v>0</v>
      </c>
      <c r="I43" s="23" t="n">
        <v>0</v>
      </c>
      <c r="J43" s="23" t="n">
        <v>400</v>
      </c>
      <c r="K43" s="22" t="n">
        <v>2000</v>
      </c>
      <c r="L43" s="24" t="inlineStr">
        <is>
          <t>🔴 NoMover (&gt;6M Nac)</t>
        </is>
      </c>
      <c r="M43" s="52" t="n">
        <v>0.953174241</v>
      </c>
      <c r="N43" s="53" t="n">
        <v>381.27</v>
      </c>
      <c r="O43" s="52" t="n">
        <v>0</v>
      </c>
      <c r="P43" s="20" t="inlineStr">
        <is>
          <t>Sin Demanda Nacional (Inmovilizado Crítico)</t>
        </is>
      </c>
    </row>
    <row r="44" ht="20" customHeight="1">
      <c r="A44" s="54" t="inlineStr">
        <is>
          <t>AGZNP0001</t>
        </is>
      </c>
      <c r="B44" s="27" t="inlineStr">
        <is>
          <t>AGROXILATO-ZN PLUS</t>
        </is>
      </c>
      <c r="C44" s="27" t="inlineStr">
        <is>
          <t>Botellas 1L</t>
        </is>
      </c>
      <c r="D44" s="32" t="n">
        <v>128</v>
      </c>
      <c r="E44" s="31" t="n">
        <v>128</v>
      </c>
      <c r="F44" s="31" t="n">
        <v>0</v>
      </c>
      <c r="G44" s="31" t="n">
        <v>0</v>
      </c>
      <c r="H44" s="32" t="n">
        <v>0</v>
      </c>
      <c r="I44" s="32" t="n">
        <v>0</v>
      </c>
      <c r="J44" s="32" t="n">
        <v>128</v>
      </c>
      <c r="K44" s="31" t="n">
        <v>128</v>
      </c>
      <c r="L44" s="24" t="inlineStr">
        <is>
          <t>🔴 NoMover (&gt;6M Nac)</t>
        </is>
      </c>
      <c r="M44" s="55" t="n">
        <v>2.592611413</v>
      </c>
      <c r="N44" s="56" t="n">
        <v>331.85</v>
      </c>
      <c r="O44" s="55" t="n">
        <v>0</v>
      </c>
      <c r="P44" s="27" t="inlineStr">
        <is>
          <t>Sin Demanda Nacional (Inmovilizado Crítico)</t>
        </is>
      </c>
    </row>
    <row r="45" ht="20" customHeight="1">
      <c r="A45" s="51" t="inlineStr">
        <is>
          <t>HST0001</t>
        </is>
      </c>
      <c r="B45" s="20" t="inlineStr">
        <is>
          <t>HIDROSTRESS, 1 L</t>
        </is>
      </c>
      <c r="C45" s="20" t="inlineStr">
        <is>
          <t>Botellas 1L</t>
        </is>
      </c>
      <c r="D45" s="23" t="n">
        <v>156</v>
      </c>
      <c r="E45" s="22" t="n">
        <v>156</v>
      </c>
      <c r="F45" s="22" t="n">
        <v>0</v>
      </c>
      <c r="G45" s="22" t="n">
        <v>75</v>
      </c>
      <c r="H45" s="23" t="n">
        <v>75</v>
      </c>
      <c r="I45" s="23" t="n">
        <v>75</v>
      </c>
      <c r="J45" s="23" t="n">
        <v>81</v>
      </c>
      <c r="K45" s="22" t="n">
        <v>81</v>
      </c>
      <c r="L45" s="24" t="inlineStr">
        <is>
          <t>🔴 NoMover (&gt;6M Nac)</t>
        </is>
      </c>
      <c r="M45" s="52" t="n">
        <v>3.519051434</v>
      </c>
      <c r="N45" s="53" t="n">
        <v>285.04</v>
      </c>
      <c r="O45" s="58" t="n">
        <v>263.93</v>
      </c>
      <c r="P45" s="20" t="inlineStr">
        <is>
          <t>Plan Choque Comercial Nac / Oferta</t>
        </is>
      </c>
    </row>
    <row r="46" ht="20" customHeight="1">
      <c r="A46" s="54" t="inlineStr">
        <is>
          <t>AGZ-M0001</t>
        </is>
      </c>
      <c r="B46" s="27" t="inlineStr">
        <is>
          <t>AGROXILATO-ZN-MN, 1 KG</t>
        </is>
      </c>
      <c r="C46" s="27" t="inlineStr">
        <is>
          <t>Botellas 1L</t>
        </is>
      </c>
      <c r="D46" s="32" t="n">
        <v>155</v>
      </c>
      <c r="E46" s="31" t="n">
        <v>155</v>
      </c>
      <c r="F46" s="31" t="n">
        <v>112</v>
      </c>
      <c r="G46" s="31" t="n">
        <v>0</v>
      </c>
      <c r="H46" s="32" t="n">
        <v>112</v>
      </c>
      <c r="I46" s="32" t="n">
        <v>0</v>
      </c>
      <c r="J46" s="32" t="n">
        <v>43</v>
      </c>
      <c r="K46" s="31" t="n">
        <v>43</v>
      </c>
      <c r="L46" s="24" t="inlineStr">
        <is>
          <t>🔴 NoMover (&gt;6M Nac)</t>
        </is>
      </c>
      <c r="M46" s="55" t="n">
        <v>5.153120375</v>
      </c>
      <c r="N46" s="56" t="n">
        <v>221.58</v>
      </c>
      <c r="O46" s="55" t="n">
        <v>0</v>
      </c>
      <c r="P46" s="27" t="inlineStr">
        <is>
          <t>Plan Choque Comercial Nac / Oferta</t>
        </is>
      </c>
    </row>
    <row r="47" ht="20" customHeight="1">
      <c r="A47" s="51" t="inlineStr">
        <is>
          <t>AQUOM0001</t>
        </is>
      </c>
      <c r="B47" s="20" t="inlineStr">
        <is>
          <t>AQUOM, 1 L</t>
        </is>
      </c>
      <c r="C47" s="20" t="inlineStr">
        <is>
          <t>Botellas 1L</t>
        </is>
      </c>
      <c r="D47" s="23" t="n">
        <v>36</v>
      </c>
      <c r="E47" s="22" t="n">
        <v>36</v>
      </c>
      <c r="F47" s="22" t="n">
        <v>0</v>
      </c>
      <c r="G47" s="22" t="n">
        <v>0</v>
      </c>
      <c r="H47" s="23" t="n">
        <v>0</v>
      </c>
      <c r="I47" s="23" t="n">
        <v>0</v>
      </c>
      <c r="J47" s="23" t="n">
        <v>36</v>
      </c>
      <c r="K47" s="22" t="n">
        <v>36</v>
      </c>
      <c r="L47" s="24" t="inlineStr">
        <is>
          <t>🔴 NoMover (&gt;6M Nac)</t>
        </is>
      </c>
      <c r="M47" s="52" t="n">
        <v>5.952042248</v>
      </c>
      <c r="N47" s="53" t="n">
        <v>214.27</v>
      </c>
      <c r="O47" s="52" t="n">
        <v>0</v>
      </c>
      <c r="P47" s="20" t="inlineStr">
        <is>
          <t>Sin Demanda Nacional (Inmovilizado Crítico)</t>
        </is>
      </c>
    </row>
    <row r="48" ht="20" customHeight="1">
      <c r="A48" s="54" t="inlineStr">
        <is>
          <t>N0001</t>
        </is>
      </c>
      <c r="B48" s="27" t="inlineStr">
        <is>
          <t>NUTRICALE, 1 L</t>
        </is>
      </c>
      <c r="C48" s="27" t="inlineStr">
        <is>
          <t>Botellas 1L</t>
        </is>
      </c>
      <c r="D48" s="32" t="n">
        <v>132</v>
      </c>
      <c r="E48" s="31" t="n">
        <v>132</v>
      </c>
      <c r="F48" s="31" t="n">
        <v>0</v>
      </c>
      <c r="G48" s="31" t="n">
        <v>0</v>
      </c>
      <c r="H48" s="32" t="n">
        <v>0</v>
      </c>
      <c r="I48" s="32" t="n">
        <v>0</v>
      </c>
      <c r="J48" s="32" t="n">
        <v>132</v>
      </c>
      <c r="K48" s="31" t="n">
        <v>132</v>
      </c>
      <c r="L48" s="24" t="inlineStr">
        <is>
          <t>🔴 NoMover (&gt;6M Nac)</t>
        </is>
      </c>
      <c r="M48" s="55" t="n">
        <v>1.606300393</v>
      </c>
      <c r="N48" s="56" t="n">
        <v>212.03</v>
      </c>
      <c r="O48" s="55" t="n">
        <v>0</v>
      </c>
      <c r="P48" s="27" t="inlineStr">
        <is>
          <t>Sin Demanda Nacional (Inmovilizado Crítico)</t>
        </is>
      </c>
    </row>
    <row r="49" ht="20" customHeight="1">
      <c r="A49" s="51" t="inlineStr">
        <is>
          <t>PIV0005</t>
        </is>
      </c>
      <c r="B49" s="20" t="inlineStr">
        <is>
          <t>PGR IV, 5 L</t>
        </is>
      </c>
      <c r="C49" s="20" t="inlineStr">
        <is>
          <t>Garrafas 5L</t>
        </is>
      </c>
      <c r="D49" s="23" t="n">
        <v>200</v>
      </c>
      <c r="E49" s="22" t="n">
        <v>1000</v>
      </c>
      <c r="F49" s="22" t="n">
        <v>0</v>
      </c>
      <c r="G49" s="22" t="n">
        <v>0</v>
      </c>
      <c r="H49" s="23" t="n">
        <v>0</v>
      </c>
      <c r="I49" s="23" t="n">
        <v>0</v>
      </c>
      <c r="J49" s="23" t="n">
        <v>200</v>
      </c>
      <c r="K49" s="22" t="n">
        <v>1000</v>
      </c>
      <c r="L49" s="24" t="inlineStr">
        <is>
          <t>🔴 NoMover (&gt;6M Nac)</t>
        </is>
      </c>
      <c r="M49" s="52" t="n">
        <v>0.948319953</v>
      </c>
      <c r="N49" s="53" t="n">
        <v>189.66</v>
      </c>
      <c r="O49" s="52" t="n">
        <v>0</v>
      </c>
      <c r="P49" s="20" t="inlineStr">
        <is>
          <t>Sin Demanda Nacional (Inmovilizado Crítico)</t>
        </is>
      </c>
    </row>
    <row r="50" ht="20" customHeight="1">
      <c r="A50" s="54" t="inlineStr">
        <is>
          <t>CZNMNES0005</t>
        </is>
      </c>
      <c r="B50" s="27" t="inlineStr">
        <is>
          <t>CODIFOL ZN-MN, 5 KG</t>
        </is>
      </c>
      <c r="C50" s="27" t="inlineStr">
        <is>
          <t>Garrafas 5L</t>
        </is>
      </c>
      <c r="D50" s="32" t="n">
        <v>105</v>
      </c>
      <c r="E50" s="31" t="n">
        <v>525</v>
      </c>
      <c r="F50" s="31" t="n">
        <v>0</v>
      </c>
      <c r="G50" s="31" t="n">
        <v>0</v>
      </c>
      <c r="H50" s="32" t="n">
        <v>0</v>
      </c>
      <c r="I50" s="32" t="n">
        <v>0</v>
      </c>
      <c r="J50" s="32" t="n">
        <v>105</v>
      </c>
      <c r="K50" s="31" t="n">
        <v>525</v>
      </c>
      <c r="L50" s="24" t="inlineStr">
        <is>
          <t>🔴 NoMover (&gt;6M Nac)</t>
        </is>
      </c>
      <c r="M50" s="55" t="n">
        <v>1.791702254</v>
      </c>
      <c r="N50" s="56" t="n">
        <v>188.13</v>
      </c>
      <c r="O50" s="55" t="n">
        <v>0</v>
      </c>
      <c r="P50" s="27" t="inlineStr">
        <is>
          <t>Sin Demanda Nacional (Inmovilizado Crítico)</t>
        </is>
      </c>
    </row>
    <row r="51" ht="20" customHeight="1">
      <c r="A51" s="51" t="inlineStr">
        <is>
          <t>CBASI0005</t>
        </is>
      </c>
      <c r="B51" s="20" t="inlineStr">
        <is>
          <t>BIOCULTURE BASI, 5 KG</t>
        </is>
      </c>
      <c r="C51" s="20" t="inlineStr">
        <is>
          <t>Garrafas 5L</t>
        </is>
      </c>
      <c r="D51" s="23" t="n">
        <v>770</v>
      </c>
      <c r="E51" s="22" t="n">
        <v>3850</v>
      </c>
      <c r="F51" s="22" t="n">
        <v>500</v>
      </c>
      <c r="G51" s="22" t="n">
        <v>0</v>
      </c>
      <c r="H51" s="23" t="n">
        <v>500</v>
      </c>
      <c r="I51" s="23" t="n">
        <v>0</v>
      </c>
      <c r="J51" s="23" t="n">
        <v>270</v>
      </c>
      <c r="K51" s="22" t="n">
        <v>1350</v>
      </c>
      <c r="L51" s="24" t="inlineStr">
        <is>
          <t>🔴 NoMover (&gt;6M Nac)</t>
        </is>
      </c>
      <c r="M51" s="52" t="n">
        <v>0.638528424</v>
      </c>
      <c r="N51" s="53" t="n">
        <v>172.4</v>
      </c>
      <c r="O51" s="52" t="n">
        <v>0</v>
      </c>
      <c r="P51" s="20" t="inlineStr">
        <is>
          <t>Plan Choque Comercial Nac / Oferta</t>
        </is>
      </c>
    </row>
    <row r="52" ht="20" customHeight="1">
      <c r="A52" s="54" t="inlineStr">
        <is>
          <t>A-50EG0001</t>
        </is>
      </c>
      <c r="B52" s="27" t="inlineStr">
        <is>
          <t>CODIORGAN-A50</t>
        </is>
      </c>
      <c r="C52" s="27" t="inlineStr">
        <is>
          <t>Botellas 1L</t>
        </is>
      </c>
      <c r="D52" s="32" t="n">
        <v>81</v>
      </c>
      <c r="E52" s="31" t="n">
        <v>81</v>
      </c>
      <c r="F52" s="31" t="n">
        <v>0</v>
      </c>
      <c r="G52" s="31" t="n">
        <v>0</v>
      </c>
      <c r="H52" s="32" t="n">
        <v>0</v>
      </c>
      <c r="I52" s="32" t="n">
        <v>0</v>
      </c>
      <c r="J52" s="32" t="n">
        <v>81</v>
      </c>
      <c r="K52" s="31" t="n">
        <v>81</v>
      </c>
      <c r="L52" s="24" t="inlineStr">
        <is>
          <t>🔴 NoMover (&gt;6M Nac)</t>
        </is>
      </c>
      <c r="M52" s="55" t="n">
        <v>2.074756176</v>
      </c>
      <c r="N52" s="56" t="n">
        <v>168.06</v>
      </c>
      <c r="O52" s="55" t="n">
        <v>0</v>
      </c>
      <c r="P52" s="27" t="inlineStr">
        <is>
          <t>Sin Demanda Nacional (Inmovilizado Crítico)</t>
        </is>
      </c>
    </row>
    <row r="53" ht="20" customHeight="1">
      <c r="A53" s="51" t="inlineStr">
        <is>
          <t>PHD0001</t>
        </is>
      </c>
      <c r="B53" s="20" t="inlineStr">
        <is>
          <t>PH-DOWNER</t>
        </is>
      </c>
      <c r="C53" s="20" t="inlineStr">
        <is>
          <t>Botellas 1L</t>
        </is>
      </c>
      <c r="D53" s="23" t="n">
        <v>144</v>
      </c>
      <c r="E53" s="22" t="n">
        <v>144</v>
      </c>
      <c r="F53" s="22" t="n">
        <v>0</v>
      </c>
      <c r="G53" s="22" t="n">
        <v>77</v>
      </c>
      <c r="H53" s="23" t="n">
        <v>77</v>
      </c>
      <c r="I53" s="23" t="n">
        <v>77</v>
      </c>
      <c r="J53" s="23" t="n">
        <v>67</v>
      </c>
      <c r="K53" s="22" t="n">
        <v>67</v>
      </c>
      <c r="L53" s="24" t="inlineStr">
        <is>
          <t>🔴 NoMover (&gt;6M Nac)</t>
        </is>
      </c>
      <c r="M53" s="52" t="n">
        <v>1.982570305</v>
      </c>
      <c r="N53" s="53" t="n">
        <v>132.83</v>
      </c>
      <c r="O53" s="58" t="n">
        <v>152.66</v>
      </c>
      <c r="P53" s="20" t="inlineStr">
        <is>
          <t>Plan Choque Comercial Nac / Oferta</t>
        </is>
      </c>
    </row>
    <row r="54" ht="20" customHeight="1">
      <c r="A54" s="54" t="inlineStr">
        <is>
          <t>FLOR0020</t>
        </is>
      </c>
      <c r="B54" s="27" t="inlineStr">
        <is>
          <t>FLORAMEC, 20 L</t>
        </is>
      </c>
      <c r="C54" s="27" t="inlineStr">
        <is>
          <t>Garrafas 20L</t>
        </is>
      </c>
      <c r="D54" s="32" t="n">
        <v>140</v>
      </c>
      <c r="E54" s="31" t="n">
        <v>2800</v>
      </c>
      <c r="F54" s="31" t="n">
        <v>0</v>
      </c>
      <c r="G54" s="31" t="n">
        <v>0</v>
      </c>
      <c r="H54" s="32" t="n">
        <v>0</v>
      </c>
      <c r="I54" s="32" t="n">
        <v>0</v>
      </c>
      <c r="J54" s="32" t="n">
        <v>140</v>
      </c>
      <c r="K54" s="31" t="n">
        <v>2800</v>
      </c>
      <c r="L54" s="24" t="inlineStr">
        <is>
          <t>🔴 NoMover (&gt;6M Nac)</t>
        </is>
      </c>
      <c r="M54" s="55" t="n">
        <v>0.8864784</v>
      </c>
      <c r="N54" s="56" t="n">
        <v>124.11</v>
      </c>
      <c r="O54" s="55" t="n">
        <v>0</v>
      </c>
      <c r="P54" s="27" t="inlineStr">
        <is>
          <t>Sin Demanda Nacional (Inmovilizado Crítico)</t>
        </is>
      </c>
    </row>
    <row r="55" ht="20" customHeight="1">
      <c r="A55" s="51" t="inlineStr">
        <is>
          <t>CSIL0020</t>
        </is>
      </c>
      <c r="B55" s="20" t="inlineStr">
        <is>
          <t>FITOKONTROL-K, 20 L</t>
        </is>
      </c>
      <c r="C55" s="20" t="inlineStr">
        <is>
          <t>Garrafas 20L</t>
        </is>
      </c>
      <c r="D55" s="23" t="n">
        <v>80</v>
      </c>
      <c r="E55" s="22" t="n">
        <v>1600</v>
      </c>
      <c r="F55" s="22" t="n">
        <v>0</v>
      </c>
      <c r="G55" s="22" t="n">
        <v>0</v>
      </c>
      <c r="H55" s="23" t="n">
        <v>0</v>
      </c>
      <c r="I55" s="23" t="n">
        <v>0</v>
      </c>
      <c r="J55" s="23" t="n">
        <v>80</v>
      </c>
      <c r="K55" s="22" t="n">
        <v>1600</v>
      </c>
      <c r="L55" s="24" t="inlineStr">
        <is>
          <t>🔴 NoMover (&gt;6M Nac)</t>
        </is>
      </c>
      <c r="M55" s="52" t="n">
        <v>1.394218385</v>
      </c>
      <c r="N55" s="53" t="n">
        <v>111.54</v>
      </c>
      <c r="O55" s="52" t="n">
        <v>0</v>
      </c>
      <c r="P55" s="20" t="inlineStr">
        <is>
          <t>Sin Demanda Nacional (Inmovilizado Crítico)</t>
        </is>
      </c>
    </row>
    <row r="56" ht="20" customHeight="1">
      <c r="A56" s="54" t="inlineStr">
        <is>
          <t>BC0020</t>
        </is>
      </c>
      <c r="B56" s="27" t="inlineStr">
        <is>
          <t>BITTER-CAL, 20 KG</t>
        </is>
      </c>
      <c r="C56" s="27" t="inlineStr">
        <is>
          <t>Garrafas 20L</t>
        </is>
      </c>
      <c r="D56" s="32" t="n">
        <v>200</v>
      </c>
      <c r="E56" s="31" t="n">
        <v>4000</v>
      </c>
      <c r="F56" s="31" t="n">
        <v>0</v>
      </c>
      <c r="G56" s="31" t="n">
        <v>100</v>
      </c>
      <c r="H56" s="32" t="n">
        <v>100</v>
      </c>
      <c r="I56" s="32" t="n">
        <v>100</v>
      </c>
      <c r="J56" s="32" t="n">
        <v>100</v>
      </c>
      <c r="K56" s="31" t="n">
        <v>2000</v>
      </c>
      <c r="L56" s="24" t="inlineStr">
        <is>
          <t>🔴 NoMover (&gt;6M Nac)</t>
        </is>
      </c>
      <c r="M56" s="55" t="n">
        <v>1.016006974</v>
      </c>
      <c r="N56" s="56" t="n">
        <v>101.6</v>
      </c>
      <c r="O56" s="57" t="n">
        <v>101.6</v>
      </c>
      <c r="P56" s="27" t="inlineStr">
        <is>
          <t>Plan Choque Comercial Nac / Oferta</t>
        </is>
      </c>
    </row>
    <row r="57" ht="20" customHeight="1">
      <c r="A57" s="51" t="inlineStr">
        <is>
          <t>BAYCAL0020</t>
        </is>
      </c>
      <c r="B57" s="20" t="inlineStr">
        <is>
          <t>BAYFOLAN CALCIO</t>
        </is>
      </c>
      <c r="C57" s="20" t="inlineStr">
        <is>
          <t>Garrafas 20L</t>
        </is>
      </c>
      <c r="D57" s="23" t="n">
        <v>100</v>
      </c>
      <c r="E57" s="22" t="n">
        <v>2000</v>
      </c>
      <c r="F57" s="22" t="n">
        <v>0</v>
      </c>
      <c r="G57" s="22" t="n">
        <v>0</v>
      </c>
      <c r="H57" s="23" t="n">
        <v>0</v>
      </c>
      <c r="I57" s="23" t="n">
        <v>0</v>
      </c>
      <c r="J57" s="23" t="n">
        <v>100</v>
      </c>
      <c r="K57" s="22" t="n">
        <v>2000</v>
      </c>
      <c r="L57" s="24" t="inlineStr">
        <is>
          <t>🔴 NoMover (&gt;6M Nac)</t>
        </is>
      </c>
      <c r="M57" s="52" t="n">
        <v>1.014598543</v>
      </c>
      <c r="N57" s="53" t="n">
        <v>101.46</v>
      </c>
      <c r="O57" s="52" t="n">
        <v>0</v>
      </c>
      <c r="P57" s="20" t="inlineStr">
        <is>
          <t>Sin Demanda Nacional (Inmovilizado Crítico)</t>
        </is>
      </c>
    </row>
    <row r="58" ht="20" customHeight="1">
      <c r="A58" s="54" t="inlineStr">
        <is>
          <t>AGN0020</t>
        </is>
      </c>
      <c r="B58" s="27" t="inlineStr">
        <is>
          <t>AGROXILATO N, 20 L</t>
        </is>
      </c>
      <c r="C58" s="27" t="inlineStr">
        <is>
          <t>Garrafas 20L</t>
        </is>
      </c>
      <c r="D58" s="32" t="n">
        <v>200</v>
      </c>
      <c r="E58" s="31" t="n">
        <v>4000</v>
      </c>
      <c r="F58" s="31" t="n">
        <v>0</v>
      </c>
      <c r="G58" s="31" t="n">
        <v>100</v>
      </c>
      <c r="H58" s="32" t="n">
        <v>100</v>
      </c>
      <c r="I58" s="32" t="n">
        <v>100</v>
      </c>
      <c r="J58" s="32" t="n">
        <v>100</v>
      </c>
      <c r="K58" s="31" t="n">
        <v>2000</v>
      </c>
      <c r="L58" s="24" t="inlineStr">
        <is>
          <t>🔴 NoMover (&gt;6M Nac)</t>
        </is>
      </c>
      <c r="M58" s="55" t="n">
        <v>0.935092885</v>
      </c>
      <c r="N58" s="56" t="n">
        <v>93.51000000000001</v>
      </c>
      <c r="O58" s="57" t="n">
        <v>93.51000000000001</v>
      </c>
      <c r="P58" s="27" t="inlineStr">
        <is>
          <t>Plan Choque Comercial Nac / Oferta</t>
        </is>
      </c>
    </row>
    <row r="59" ht="20" customHeight="1">
      <c r="A59" s="51" t="inlineStr">
        <is>
          <t>AN0005</t>
        </is>
      </c>
      <c r="B59" s="20" t="inlineStr">
        <is>
          <t>ALCAPLANT NEW, 5 KG</t>
        </is>
      </c>
      <c r="C59" s="20" t="inlineStr">
        <is>
          <t>Garrafas 5L</t>
        </is>
      </c>
      <c r="D59" s="23" t="n">
        <v>220</v>
      </c>
      <c r="E59" s="22" t="n">
        <v>1100</v>
      </c>
      <c r="F59" s="22" t="n">
        <v>0</v>
      </c>
      <c r="G59" s="22" t="n">
        <v>0</v>
      </c>
      <c r="H59" s="23" t="n">
        <v>0</v>
      </c>
      <c r="I59" s="23" t="n">
        <v>0</v>
      </c>
      <c r="J59" s="23" t="n">
        <v>220</v>
      </c>
      <c r="K59" s="22" t="n">
        <v>1100</v>
      </c>
      <c r="L59" s="24" t="inlineStr">
        <is>
          <t>🔴 NoMover (&gt;6M Nac)</t>
        </is>
      </c>
      <c r="M59" s="52" t="n">
        <v>0.396319826</v>
      </c>
      <c r="N59" s="53" t="n">
        <v>87.19</v>
      </c>
      <c r="O59" s="52" t="n">
        <v>0</v>
      </c>
      <c r="P59" s="20" t="inlineStr">
        <is>
          <t>Sin Demanda Nacional (Inmovilizado Crítico)</t>
        </is>
      </c>
    </row>
    <row r="60" ht="20" customHeight="1">
      <c r="A60" s="54" t="inlineStr">
        <is>
          <t>AMIMG0005</t>
        </is>
      </c>
      <c r="B60" s="27" t="inlineStr">
        <is>
          <t>AMINOSOIL-MG, 5L</t>
        </is>
      </c>
      <c r="C60" s="27" t="inlineStr">
        <is>
          <t>Garrafas 5L</t>
        </is>
      </c>
      <c r="D60" s="32" t="n">
        <v>140</v>
      </c>
      <c r="E60" s="31" t="n">
        <v>700</v>
      </c>
      <c r="F60" s="31" t="n">
        <v>0</v>
      </c>
      <c r="G60" s="31" t="n">
        <v>45</v>
      </c>
      <c r="H60" s="32" t="n">
        <v>45</v>
      </c>
      <c r="I60" s="32" t="n">
        <v>45</v>
      </c>
      <c r="J60" s="32" t="n">
        <v>95</v>
      </c>
      <c r="K60" s="31" t="n">
        <v>475</v>
      </c>
      <c r="L60" s="24" t="inlineStr">
        <is>
          <t>🔴 NoMover (&gt;6M Nac)</t>
        </is>
      </c>
      <c r="M60" s="55" t="n">
        <v>0.875371215</v>
      </c>
      <c r="N60" s="56" t="n">
        <v>83.16</v>
      </c>
      <c r="O60" s="57" t="n">
        <v>39.39</v>
      </c>
      <c r="P60" s="27" t="inlineStr">
        <is>
          <t>Plan Choque Comercial Nac / Oferta</t>
        </is>
      </c>
    </row>
    <row r="61" ht="20" customHeight="1">
      <c r="A61" s="51" t="inlineStr">
        <is>
          <t>BROTA0001</t>
        </is>
      </c>
      <c r="B61" s="20" t="inlineStr">
        <is>
          <t>BROTAMEC, 1 L</t>
        </is>
      </c>
      <c r="C61" s="20" t="inlineStr">
        <is>
          <t>Botellas 1L</t>
        </is>
      </c>
      <c r="D61" s="23" t="n">
        <v>48</v>
      </c>
      <c r="E61" s="22" t="n">
        <v>48</v>
      </c>
      <c r="F61" s="22" t="n">
        <v>0</v>
      </c>
      <c r="G61" s="22" t="n">
        <v>0</v>
      </c>
      <c r="H61" s="23" t="n">
        <v>0</v>
      </c>
      <c r="I61" s="23" t="n">
        <v>0</v>
      </c>
      <c r="J61" s="23" t="n">
        <v>48</v>
      </c>
      <c r="K61" s="22" t="n">
        <v>48</v>
      </c>
      <c r="L61" s="24" t="inlineStr">
        <is>
          <t>🔴 NoMover (&gt;6M Nac)</t>
        </is>
      </c>
      <c r="M61" s="52" t="n">
        <v>1.697671971</v>
      </c>
      <c r="N61" s="53" t="n">
        <v>81.48999999999999</v>
      </c>
      <c r="O61" s="52" t="n">
        <v>0</v>
      </c>
      <c r="P61" s="20" t="inlineStr">
        <is>
          <t>Sin Demanda Nacional (Inmovilizado Crítico)</t>
        </is>
      </c>
    </row>
    <row r="62" ht="20" customHeight="1">
      <c r="A62" s="54" t="inlineStr">
        <is>
          <t>WHITE0005</t>
        </is>
      </c>
      <c r="B62" s="27" t="inlineStr">
        <is>
          <t>AGROWHITE</t>
        </is>
      </c>
      <c r="C62" s="27" t="inlineStr">
        <is>
          <t>Garrafas 5L</t>
        </is>
      </c>
      <c r="D62" s="32" t="n">
        <v>135</v>
      </c>
      <c r="E62" s="31" t="n">
        <v>675</v>
      </c>
      <c r="F62" s="31" t="n">
        <v>0</v>
      </c>
      <c r="G62" s="31" t="n">
        <v>0</v>
      </c>
      <c r="H62" s="32" t="n">
        <v>0</v>
      </c>
      <c r="I62" s="32" t="n">
        <v>0</v>
      </c>
      <c r="J62" s="32" t="n">
        <v>135</v>
      </c>
      <c r="K62" s="31" t="n">
        <v>675</v>
      </c>
      <c r="L62" s="24" t="inlineStr">
        <is>
          <t>🔴 NoMover (&gt;6M Nac)</t>
        </is>
      </c>
      <c r="M62" s="55" t="n">
        <v>0.460286754</v>
      </c>
      <c r="N62" s="56" t="n">
        <v>62.14</v>
      </c>
      <c r="O62" s="55" t="n">
        <v>0</v>
      </c>
      <c r="P62" s="27" t="inlineStr">
        <is>
          <t>Sin Demanda Nacional (Inmovilizado Crítico)</t>
        </is>
      </c>
    </row>
    <row r="63" ht="20" customHeight="1">
      <c r="A63" s="51" t="inlineStr">
        <is>
          <t>CODIR0001</t>
        </is>
      </c>
      <c r="B63" s="20" t="inlineStr">
        <is>
          <t>CODIRESIST, 1 L</t>
        </is>
      </c>
      <c r="C63" s="20" t="inlineStr">
        <is>
          <t>Botellas 1L</t>
        </is>
      </c>
      <c r="D63" s="23" t="n">
        <v>23</v>
      </c>
      <c r="E63" s="22" t="n">
        <v>23</v>
      </c>
      <c r="F63" s="22" t="n">
        <v>0</v>
      </c>
      <c r="G63" s="22" t="n">
        <v>0</v>
      </c>
      <c r="H63" s="23" t="n">
        <v>0</v>
      </c>
      <c r="I63" s="23" t="n">
        <v>0</v>
      </c>
      <c r="J63" s="23" t="n">
        <v>23</v>
      </c>
      <c r="K63" s="22" t="n">
        <v>23</v>
      </c>
      <c r="L63" s="24" t="inlineStr">
        <is>
          <t>🔴 NoMover (&gt;6M Nac)</t>
        </is>
      </c>
      <c r="M63" s="52" t="n">
        <v>2.595357906</v>
      </c>
      <c r="N63" s="53" t="n">
        <v>59.69</v>
      </c>
      <c r="O63" s="52" t="n">
        <v>0</v>
      </c>
      <c r="P63" s="20" t="inlineStr">
        <is>
          <t>Sin Demanda Nacional (Inmovilizado Crítico)</t>
        </is>
      </c>
    </row>
    <row r="64" ht="20" customHeight="1">
      <c r="A64" s="54" t="inlineStr">
        <is>
          <t>CSIL0001</t>
        </is>
      </c>
      <c r="B64" s="27" t="inlineStr">
        <is>
          <t>FITOKONTROL-K, 1 L</t>
        </is>
      </c>
      <c r="C64" s="27" t="inlineStr">
        <is>
          <t>Botellas 1L</t>
        </is>
      </c>
      <c r="D64" s="32" t="n">
        <v>24</v>
      </c>
      <c r="E64" s="31" t="n">
        <v>24</v>
      </c>
      <c r="F64" s="31" t="n">
        <v>0</v>
      </c>
      <c r="G64" s="31" t="n">
        <v>0</v>
      </c>
      <c r="H64" s="32" t="n">
        <v>0</v>
      </c>
      <c r="I64" s="32" t="n">
        <v>0</v>
      </c>
      <c r="J64" s="32" t="n">
        <v>24</v>
      </c>
      <c r="K64" s="31" t="n">
        <v>24</v>
      </c>
      <c r="L64" s="24" t="inlineStr">
        <is>
          <t>🔴 NoMover (&gt;6M Nac)</t>
        </is>
      </c>
      <c r="M64" s="55" t="n">
        <v>2.075429556</v>
      </c>
      <c r="N64" s="56" t="n">
        <v>49.81</v>
      </c>
      <c r="O64" s="55" t="n">
        <v>0</v>
      </c>
      <c r="P64" s="27" t="inlineStr">
        <is>
          <t>Sin Demanda Nacional (Inmovilizado Crítico)</t>
        </is>
      </c>
    </row>
    <row r="65" ht="20" customHeight="1">
      <c r="A65" s="51" t="inlineStr">
        <is>
          <t>AQUOMAR0005</t>
        </is>
      </c>
      <c r="B65" s="20" t="inlineStr">
        <is>
          <t>AQUOM ARABIA, 5 L</t>
        </is>
      </c>
      <c r="C65" s="20" t="inlineStr">
        <is>
          <t>Garrafas 5L</t>
        </is>
      </c>
      <c r="D65" s="23" t="n">
        <v>15</v>
      </c>
      <c r="E65" s="22" t="n">
        <v>75</v>
      </c>
      <c r="F65" s="22" t="n">
        <v>0</v>
      </c>
      <c r="G65" s="22" t="n">
        <v>0</v>
      </c>
      <c r="H65" s="23" t="n">
        <v>0</v>
      </c>
      <c r="I65" s="23" t="n">
        <v>0</v>
      </c>
      <c r="J65" s="23" t="n">
        <v>15</v>
      </c>
      <c r="K65" s="22" t="n">
        <v>75</v>
      </c>
      <c r="L65" s="24" t="inlineStr">
        <is>
          <t>🔴 NoMover (&gt;6M Nac)</t>
        </is>
      </c>
      <c r="M65" s="52" t="n">
        <v>2.221691276</v>
      </c>
      <c r="N65" s="53" t="n">
        <v>33.33</v>
      </c>
      <c r="O65" s="52" t="n">
        <v>0</v>
      </c>
      <c r="P65" s="20" t="inlineStr">
        <is>
          <t>Sin Demanda Nacional (Inmovilizado Crítico)</t>
        </is>
      </c>
    </row>
    <row r="66" ht="20" customHeight="1">
      <c r="A66" s="54" t="inlineStr">
        <is>
          <t>RUN0001</t>
        </is>
      </c>
      <c r="B66" s="27" t="inlineStr">
        <is>
          <t>RUN STRESS</t>
        </is>
      </c>
      <c r="C66" s="27" t="inlineStr">
        <is>
          <t>Botellas 1L</t>
        </is>
      </c>
      <c r="D66" s="32" t="n">
        <v>6</v>
      </c>
      <c r="E66" s="31" t="n">
        <v>6</v>
      </c>
      <c r="F66" s="31" t="n">
        <v>0</v>
      </c>
      <c r="G66" s="31" t="n">
        <v>0</v>
      </c>
      <c r="H66" s="32" t="n">
        <v>0</v>
      </c>
      <c r="I66" s="32" t="n">
        <v>0</v>
      </c>
      <c r="J66" s="32" t="n">
        <v>6</v>
      </c>
      <c r="K66" s="31" t="n">
        <v>6</v>
      </c>
      <c r="L66" s="24" t="inlineStr">
        <is>
          <t>🔴 NoMover (&gt;6M Nac)</t>
        </is>
      </c>
      <c r="M66" s="55" t="n">
        <v>4.632662343</v>
      </c>
      <c r="N66" s="56" t="n">
        <v>27.8</v>
      </c>
      <c r="O66" s="55" t="n">
        <v>0</v>
      </c>
      <c r="P66" s="27" t="inlineStr">
        <is>
          <t>Sin Demanda Nacional (Inmovilizado Crítico)</t>
        </is>
      </c>
    </row>
    <row r="67" ht="20" customHeight="1">
      <c r="A67" s="51" t="inlineStr">
        <is>
          <t>AQUOMB0001</t>
        </is>
      </c>
      <c r="B67" s="20" t="inlineStr">
        <is>
          <t>AQUOM-BORO, 1 L</t>
        </is>
      </c>
      <c r="C67" s="20" t="inlineStr">
        <is>
          <t>Botellas 1L</t>
        </is>
      </c>
      <c r="D67" s="23" t="n">
        <v>6</v>
      </c>
      <c r="E67" s="22" t="n">
        <v>6</v>
      </c>
      <c r="F67" s="22" t="n">
        <v>0</v>
      </c>
      <c r="G67" s="22" t="n">
        <v>0</v>
      </c>
      <c r="H67" s="23" t="n">
        <v>0</v>
      </c>
      <c r="I67" s="23" t="n">
        <v>0</v>
      </c>
      <c r="J67" s="23" t="n">
        <v>6</v>
      </c>
      <c r="K67" s="22" t="n">
        <v>6</v>
      </c>
      <c r="L67" s="24" t="inlineStr">
        <is>
          <t>🔴 NoMover (&gt;6M Nac)</t>
        </is>
      </c>
      <c r="M67" s="52" t="n">
        <v>3.034952431</v>
      </c>
      <c r="N67" s="53" t="n">
        <v>18.21</v>
      </c>
      <c r="O67" s="52" t="n">
        <v>0</v>
      </c>
      <c r="P67" s="20" t="inlineStr">
        <is>
          <t>Sin Demanda Nacional (Inmovilizado Crítico)</t>
        </is>
      </c>
    </row>
    <row r="68" ht="20" customHeight="1">
      <c r="A68" s="54" t="inlineStr">
        <is>
          <t>FLOR0001</t>
        </is>
      </c>
      <c r="B68" s="27" t="inlineStr">
        <is>
          <t>FLORAMEC</t>
        </is>
      </c>
      <c r="C68" s="27" t="inlineStr">
        <is>
          <t>Botellas 1L</t>
        </is>
      </c>
      <c r="D68" s="32" t="n">
        <v>12</v>
      </c>
      <c r="E68" s="31" t="n">
        <v>12</v>
      </c>
      <c r="F68" s="31" t="n">
        <v>0</v>
      </c>
      <c r="G68" s="31" t="n">
        <v>0</v>
      </c>
      <c r="H68" s="32" t="n">
        <v>0</v>
      </c>
      <c r="I68" s="32" t="n">
        <v>0</v>
      </c>
      <c r="J68" s="32" t="n">
        <v>12</v>
      </c>
      <c r="K68" s="31" t="n">
        <v>12</v>
      </c>
      <c r="L68" s="24" t="inlineStr">
        <is>
          <t>🔴 NoMover (&gt;6M Nac)</t>
        </is>
      </c>
      <c r="M68" s="55" t="n">
        <v>1.398800383</v>
      </c>
      <c r="N68" s="56" t="n">
        <v>16.79</v>
      </c>
      <c r="O68" s="55" t="n">
        <v>0</v>
      </c>
      <c r="P68" s="27" t="inlineStr">
        <is>
          <t>Sin Demanda Nacional (Inmovilizado Crítico)</t>
        </is>
      </c>
    </row>
    <row r="69" ht="20" customHeight="1">
      <c r="A69" s="51" t="inlineStr">
        <is>
          <t>BIO0001</t>
        </is>
      </c>
      <c r="B69" s="20" t="inlineStr">
        <is>
          <t>BIORAD-20</t>
        </is>
      </c>
      <c r="C69" s="20" t="inlineStr">
        <is>
          <t>Botellas 1L</t>
        </is>
      </c>
      <c r="D69" s="23" t="n">
        <v>6</v>
      </c>
      <c r="E69" s="22" t="n">
        <v>6</v>
      </c>
      <c r="F69" s="22" t="n">
        <v>0</v>
      </c>
      <c r="G69" s="22" t="n">
        <v>0</v>
      </c>
      <c r="H69" s="23" t="n">
        <v>0</v>
      </c>
      <c r="I69" s="23" t="n">
        <v>0</v>
      </c>
      <c r="J69" s="23" t="n">
        <v>6</v>
      </c>
      <c r="K69" s="22" t="n">
        <v>6</v>
      </c>
      <c r="L69" s="24" t="inlineStr">
        <is>
          <t>🔴 NoMover (&gt;6M Nac)</t>
        </is>
      </c>
      <c r="M69" s="52" t="n">
        <v>1.648864804</v>
      </c>
      <c r="N69" s="53" t="n">
        <v>9.890000000000001</v>
      </c>
      <c r="O69" s="52" t="n">
        <v>0</v>
      </c>
      <c r="P69" s="20" t="inlineStr">
        <is>
          <t>Sin Demanda Nacional (Inmovilizado Crítico)</t>
        </is>
      </c>
    </row>
    <row r="70" ht="20" customHeight="1">
      <c r="A70" s="54" t="inlineStr">
        <is>
          <t>DECA0005</t>
        </is>
      </c>
      <c r="B70" s="27" t="inlineStr">
        <is>
          <t>DEFENS-CA-AE</t>
        </is>
      </c>
      <c r="C70" s="27" t="inlineStr">
        <is>
          <t>Garrafas 5L</t>
        </is>
      </c>
      <c r="D70" s="32" t="n">
        <v>10</v>
      </c>
      <c r="E70" s="31" t="n">
        <v>50</v>
      </c>
      <c r="F70" s="31" t="n">
        <v>0</v>
      </c>
      <c r="G70" s="31" t="n">
        <v>0</v>
      </c>
      <c r="H70" s="32" t="n">
        <v>0</v>
      </c>
      <c r="I70" s="32" t="n">
        <v>0</v>
      </c>
      <c r="J70" s="32" t="n">
        <v>10</v>
      </c>
      <c r="K70" s="31" t="n">
        <v>50</v>
      </c>
      <c r="L70" s="24" t="inlineStr">
        <is>
          <t>🔴 NoMover (&gt;6M Nac)</t>
        </is>
      </c>
      <c r="M70" s="55" t="n">
        <v>0.473099992</v>
      </c>
      <c r="N70" s="56" t="n">
        <v>4.73</v>
      </c>
      <c r="O70" s="55" t="n">
        <v>0</v>
      </c>
      <c r="P70" s="27" t="inlineStr">
        <is>
          <t>Sin Demanda Nacional (Inmovilizado Crítico)</t>
        </is>
      </c>
    </row>
    <row r="71" ht="20" customHeight="1">
      <c r="A71" s="51" t="inlineStr">
        <is>
          <t>AQUOM0005</t>
        </is>
      </c>
      <c r="B71" s="20" t="inlineStr">
        <is>
          <t>AQUOM, 5 L</t>
        </is>
      </c>
      <c r="C71" s="20" t="inlineStr">
        <is>
          <t>Garrafas 5L</t>
        </is>
      </c>
      <c r="D71" s="23" t="n">
        <v>830</v>
      </c>
      <c r="E71" s="22" t="n">
        <v>4150</v>
      </c>
      <c r="F71" s="22" t="n">
        <v>0</v>
      </c>
      <c r="G71" s="22" t="n">
        <v>530</v>
      </c>
      <c r="H71" s="23" t="n">
        <v>530</v>
      </c>
      <c r="I71" s="23" t="n">
        <v>530</v>
      </c>
      <c r="J71" s="23" t="n">
        <v>300</v>
      </c>
      <c r="K71" s="22" t="n">
        <v>1500</v>
      </c>
      <c r="L71" s="24" t="inlineStr">
        <is>
          <t>🔴 NoMover (&gt;6M Nac)</t>
        </is>
      </c>
      <c r="M71" s="52" t="n">
        <v>0</v>
      </c>
      <c r="N71" s="52" t="n">
        <v>0</v>
      </c>
      <c r="O71" s="52" t="n">
        <v>0</v>
      </c>
      <c r="P71" s="20" t="inlineStr">
        <is>
          <t>Plan Choque Comercial Nac / Oferta</t>
        </is>
      </c>
    </row>
    <row r="72" ht="20" customHeight="1">
      <c r="A72" s="54" t="inlineStr">
        <is>
          <t>AN0020</t>
        </is>
      </c>
      <c r="B72" s="27" t="inlineStr">
        <is>
          <t>ALCAPLANT NEW, 20 KG</t>
        </is>
      </c>
      <c r="C72" s="27" t="inlineStr">
        <is>
          <t>Garrafas 20L</t>
        </is>
      </c>
      <c r="D72" s="32" t="n">
        <v>36280</v>
      </c>
      <c r="E72" s="31" t="n">
        <v>725600</v>
      </c>
      <c r="F72" s="31" t="n">
        <v>30100</v>
      </c>
      <c r="G72" s="31" t="n">
        <v>51020</v>
      </c>
      <c r="H72" s="32" t="n">
        <v>81120</v>
      </c>
      <c r="I72" s="32" t="n">
        <v>6180</v>
      </c>
      <c r="J72" s="32" t="n">
        <v>0</v>
      </c>
      <c r="K72" s="31" t="n">
        <v>0</v>
      </c>
      <c r="L72" s="35" t="inlineStr">
        <is>
          <t>🟡 SlowMover (3-6M Nac)</t>
        </is>
      </c>
      <c r="M72" s="55" t="n">
        <v>0.299066378</v>
      </c>
      <c r="N72" s="55" t="n">
        <v>0</v>
      </c>
      <c r="O72" s="57" t="n">
        <v>1848.23</v>
      </c>
      <c r="P72" s="27" t="inlineStr">
        <is>
          <t>Consumo previsto en Q1-27 Nacional</t>
        </is>
      </c>
    </row>
    <row r="73" ht="20" customHeight="1">
      <c r="A73" s="51" t="inlineStr">
        <is>
          <t>AGRMGN0020</t>
        </is>
      </c>
      <c r="B73" s="20" t="inlineStr">
        <is>
          <t>AGROXIGREEN-MG, 20 L</t>
        </is>
      </c>
      <c r="C73" s="20" t="inlineStr">
        <is>
          <t>Garrafas 20L</t>
        </is>
      </c>
      <c r="D73" s="23" t="n">
        <v>2700</v>
      </c>
      <c r="E73" s="22" t="n">
        <v>54000</v>
      </c>
      <c r="F73" s="22" t="n">
        <v>0</v>
      </c>
      <c r="G73" s="22" t="n">
        <v>5380</v>
      </c>
      <c r="H73" s="23" t="n">
        <v>5380</v>
      </c>
      <c r="I73" s="23" t="n">
        <v>2700</v>
      </c>
      <c r="J73" s="23" t="n">
        <v>0</v>
      </c>
      <c r="K73" s="22" t="n">
        <v>0</v>
      </c>
      <c r="L73" s="35" t="inlineStr">
        <is>
          <t>🟡 SlowMover (3-6M Nac)</t>
        </is>
      </c>
      <c r="M73" s="52" t="n">
        <v>0.998649413</v>
      </c>
      <c r="N73" s="52" t="n">
        <v>0</v>
      </c>
      <c r="O73" s="58" t="n">
        <v>2696.35</v>
      </c>
      <c r="P73" s="20" t="inlineStr">
        <is>
          <t>Consumo previsto en Q1-27 Nacional</t>
        </is>
      </c>
    </row>
    <row r="74" ht="20" customHeight="1">
      <c r="A74" s="54" t="inlineStr">
        <is>
          <t>SS0020</t>
        </is>
      </c>
      <c r="B74" s="27" t="inlineStr">
        <is>
          <t>SAL-WAX-Ca sólido, 20 KG</t>
        </is>
      </c>
      <c r="C74" s="27" t="inlineStr">
        <is>
          <t>Garrafas 20L</t>
        </is>
      </c>
      <c r="D74" s="32" t="n">
        <v>10100</v>
      </c>
      <c r="E74" s="31" t="n">
        <v>202000</v>
      </c>
      <c r="F74" s="31" t="n">
        <v>8000</v>
      </c>
      <c r="G74" s="31" t="n">
        <v>11600</v>
      </c>
      <c r="H74" s="32" t="n">
        <v>19600</v>
      </c>
      <c r="I74" s="32" t="n">
        <v>2100</v>
      </c>
      <c r="J74" s="32" t="n">
        <v>0</v>
      </c>
      <c r="K74" s="31" t="n">
        <v>0</v>
      </c>
      <c r="L74" s="35" t="inlineStr">
        <is>
          <t>🟡 SlowMover (3-6M Nac)</t>
        </is>
      </c>
      <c r="M74" s="55" t="n">
        <v>1.097855221</v>
      </c>
      <c r="N74" s="55" t="n">
        <v>0</v>
      </c>
      <c r="O74" s="57" t="n">
        <v>2305.5</v>
      </c>
      <c r="P74" s="27" t="inlineStr">
        <is>
          <t>Consumo previsto en Q1-27 Nacional</t>
        </is>
      </c>
    </row>
    <row r="75" ht="20" customHeight="1">
      <c r="A75" s="51" t="inlineStr">
        <is>
          <t>ANAE0005</t>
        </is>
      </c>
      <c r="B75" s="20" t="inlineStr">
        <is>
          <t>ALCAPLANT NEW AE, 5 KG</t>
        </is>
      </c>
      <c r="C75" s="20" t="inlineStr">
        <is>
          <t>Garrafas 5L</t>
        </is>
      </c>
      <c r="D75" s="23" t="n">
        <v>12840</v>
      </c>
      <c r="E75" s="22" t="n">
        <v>64200</v>
      </c>
      <c r="F75" s="22" t="n">
        <v>11050</v>
      </c>
      <c r="G75" s="22" t="n">
        <v>16800</v>
      </c>
      <c r="H75" s="23" t="n">
        <v>27850</v>
      </c>
      <c r="I75" s="23" t="n">
        <v>1790</v>
      </c>
      <c r="J75" s="23" t="n">
        <v>0</v>
      </c>
      <c r="K75" s="22" t="n">
        <v>0</v>
      </c>
      <c r="L75" s="35" t="inlineStr">
        <is>
          <t>🟡 SlowMover (3-6M Nac)</t>
        </is>
      </c>
      <c r="M75" s="52" t="n">
        <v>0.521188894</v>
      </c>
      <c r="N75" s="52" t="n">
        <v>0</v>
      </c>
      <c r="O75" s="58" t="n">
        <v>932.9299999999999</v>
      </c>
      <c r="P75" s="20" t="inlineStr">
        <is>
          <t>Consumo previsto en Q1-27 Nacional</t>
        </is>
      </c>
    </row>
    <row r="76" ht="20" customHeight="1">
      <c r="A76" s="54" t="inlineStr">
        <is>
          <t>C-MB0020</t>
        </is>
      </c>
      <c r="B76" s="27" t="inlineStr">
        <is>
          <t>CODIFOL-MB, 20 L</t>
        </is>
      </c>
      <c r="C76" s="27" t="inlineStr">
        <is>
          <t>Garrafas 20L</t>
        </is>
      </c>
      <c r="D76" s="32" t="n">
        <v>1320</v>
      </c>
      <c r="E76" s="31" t="n">
        <v>26400</v>
      </c>
      <c r="F76" s="31" t="n">
        <v>0</v>
      </c>
      <c r="G76" s="31" t="n">
        <v>2140</v>
      </c>
      <c r="H76" s="32" t="n">
        <v>2140</v>
      </c>
      <c r="I76" s="32" t="n">
        <v>1320</v>
      </c>
      <c r="J76" s="32" t="n">
        <v>0</v>
      </c>
      <c r="K76" s="31" t="n">
        <v>0</v>
      </c>
      <c r="L76" s="35" t="inlineStr">
        <is>
          <t>🟡 SlowMover (3-6M Nac)</t>
        </is>
      </c>
      <c r="M76" s="55" t="n">
        <v>3.512262255</v>
      </c>
      <c r="N76" s="55" t="n">
        <v>0</v>
      </c>
      <c r="O76" s="57" t="n">
        <v>4636.19</v>
      </c>
      <c r="P76" s="27" t="inlineStr">
        <is>
          <t>Consumo previsto en Q1-27 Nacional</t>
        </is>
      </c>
    </row>
    <row r="77" ht="20" customHeight="1">
      <c r="A77" s="51" t="inlineStr">
        <is>
          <t>P-ZM3.50020</t>
        </is>
      </c>
      <c r="B77" s="20" t="inlineStr">
        <is>
          <t>POLIGREEN-ZNMN, 20 L</t>
        </is>
      </c>
      <c r="C77" s="20" t="inlineStr">
        <is>
          <t>Garrafas 20L</t>
        </is>
      </c>
      <c r="D77" s="23" t="n">
        <v>1280</v>
      </c>
      <c r="E77" s="22" t="n">
        <v>25600</v>
      </c>
      <c r="F77" s="22" t="n">
        <v>0</v>
      </c>
      <c r="G77" s="22" t="n">
        <v>1360</v>
      </c>
      <c r="H77" s="23" t="n">
        <v>1360</v>
      </c>
      <c r="I77" s="23" t="n">
        <v>1280</v>
      </c>
      <c r="J77" s="23" t="n">
        <v>0</v>
      </c>
      <c r="K77" s="22" t="n">
        <v>0</v>
      </c>
      <c r="L77" s="35" t="inlineStr">
        <is>
          <t>🟡 SlowMover (3-6M Nac)</t>
        </is>
      </c>
      <c r="M77" s="52" t="n">
        <v>0.7037288819999999</v>
      </c>
      <c r="N77" s="52" t="n">
        <v>0</v>
      </c>
      <c r="O77" s="58" t="n">
        <v>900.77</v>
      </c>
      <c r="P77" s="20" t="inlineStr">
        <is>
          <t>Consumo previsto en Q1-27 Nacional</t>
        </is>
      </c>
    </row>
    <row r="78" ht="20" customHeight="1">
      <c r="A78" s="54" t="inlineStr">
        <is>
          <t>PT0005</t>
        </is>
      </c>
      <c r="B78" s="27" t="inlineStr">
        <is>
          <t>AGROPOTASION, 5 L</t>
        </is>
      </c>
      <c r="C78" s="27" t="inlineStr">
        <is>
          <t>Garrafas 5L</t>
        </is>
      </c>
      <c r="D78" s="32" t="n">
        <v>1680</v>
      </c>
      <c r="E78" s="31" t="n">
        <v>8400</v>
      </c>
      <c r="F78" s="31" t="n">
        <v>700</v>
      </c>
      <c r="G78" s="31" t="n">
        <v>1420</v>
      </c>
      <c r="H78" s="32" t="n">
        <v>2120</v>
      </c>
      <c r="I78" s="32" t="n">
        <v>980</v>
      </c>
      <c r="J78" s="32" t="n">
        <v>0</v>
      </c>
      <c r="K78" s="31" t="n">
        <v>0</v>
      </c>
      <c r="L78" s="35" t="inlineStr">
        <is>
          <t>🟡 SlowMover (3-6M Nac)</t>
        </is>
      </c>
      <c r="M78" s="55" t="n">
        <v>1.162432485</v>
      </c>
      <c r="N78" s="55" t="n">
        <v>0</v>
      </c>
      <c r="O78" s="57" t="n">
        <v>1139.18</v>
      </c>
      <c r="P78" s="27" t="inlineStr">
        <is>
          <t>Consumo previsto en Q1-27 Nacional</t>
        </is>
      </c>
    </row>
    <row r="79" ht="20" customHeight="1">
      <c r="A79" s="51" t="inlineStr">
        <is>
          <t>FU0020</t>
        </is>
      </c>
      <c r="B79" s="20" t="inlineStr">
        <is>
          <t>FULVIGIN, 20 L</t>
        </is>
      </c>
      <c r="C79" s="20" t="inlineStr">
        <is>
          <t>Garrafas 20L</t>
        </is>
      </c>
      <c r="D79" s="23" t="n">
        <v>900</v>
      </c>
      <c r="E79" s="22" t="n">
        <v>18000</v>
      </c>
      <c r="F79" s="22" t="n">
        <v>0</v>
      </c>
      <c r="G79" s="22" t="n">
        <v>2120</v>
      </c>
      <c r="H79" s="23" t="n">
        <v>2120</v>
      </c>
      <c r="I79" s="23" t="n">
        <v>900</v>
      </c>
      <c r="J79" s="23" t="n">
        <v>0</v>
      </c>
      <c r="K79" s="22" t="n">
        <v>0</v>
      </c>
      <c r="L79" s="35" t="inlineStr">
        <is>
          <t>🟡 SlowMover (3-6M Nac)</t>
        </is>
      </c>
      <c r="M79" s="52" t="n">
        <v>1.020366434</v>
      </c>
      <c r="N79" s="52" t="n">
        <v>0</v>
      </c>
      <c r="O79" s="58" t="n">
        <v>918.33</v>
      </c>
      <c r="P79" s="20" t="inlineStr">
        <is>
          <t>Consumo previsto en Q1-27 Nacional</t>
        </is>
      </c>
    </row>
    <row r="80" ht="20" customHeight="1">
      <c r="A80" s="54" t="inlineStr">
        <is>
          <t>P-5X0020</t>
        </is>
      </c>
      <c r="B80" s="27" t="inlineStr">
        <is>
          <t>P.M.S. 5x, 20 L</t>
        </is>
      </c>
      <c r="C80" s="27" t="inlineStr">
        <is>
          <t>Garrafas 20L</t>
        </is>
      </c>
      <c r="D80" s="32" t="n">
        <v>820</v>
      </c>
      <c r="E80" s="31" t="n">
        <v>16400</v>
      </c>
      <c r="F80" s="31" t="n">
        <v>0</v>
      </c>
      <c r="G80" s="31" t="n">
        <v>2540</v>
      </c>
      <c r="H80" s="32" t="n">
        <v>2540</v>
      </c>
      <c r="I80" s="32" t="n">
        <v>820</v>
      </c>
      <c r="J80" s="32" t="n">
        <v>0</v>
      </c>
      <c r="K80" s="31" t="n">
        <v>0</v>
      </c>
      <c r="L80" s="35" t="inlineStr">
        <is>
          <t>🟡 SlowMover (3-6M Nac)</t>
        </is>
      </c>
      <c r="M80" s="55" t="n">
        <v>0.872689676</v>
      </c>
      <c r="N80" s="55" t="n">
        <v>0</v>
      </c>
      <c r="O80" s="57" t="n">
        <v>715.61</v>
      </c>
      <c r="P80" s="27" t="inlineStr">
        <is>
          <t>Consumo previsto en Q1-27 Nacional</t>
        </is>
      </c>
    </row>
    <row r="81" ht="20" customHeight="1">
      <c r="A81" s="51" t="inlineStr">
        <is>
          <t>PHD0020</t>
        </is>
      </c>
      <c r="B81" s="20" t="inlineStr">
        <is>
          <t>PH-DOWNER</t>
        </is>
      </c>
      <c r="C81" s="20" t="inlineStr">
        <is>
          <t>Garrafas 20L</t>
        </is>
      </c>
      <c r="D81" s="23" t="n">
        <v>1420</v>
      </c>
      <c r="E81" s="22" t="n">
        <v>28400</v>
      </c>
      <c r="F81" s="22" t="n">
        <v>640</v>
      </c>
      <c r="G81" s="22" t="n">
        <v>1160</v>
      </c>
      <c r="H81" s="23" t="n">
        <v>1800</v>
      </c>
      <c r="I81" s="23" t="n">
        <v>780</v>
      </c>
      <c r="J81" s="23" t="n">
        <v>0</v>
      </c>
      <c r="K81" s="22" t="n">
        <v>0</v>
      </c>
      <c r="L81" s="35" t="inlineStr">
        <is>
          <t>🟡 SlowMover (3-6M Nac)</t>
        </is>
      </c>
      <c r="M81" s="52" t="n">
        <v>1.343582063</v>
      </c>
      <c r="N81" s="52" t="n">
        <v>0</v>
      </c>
      <c r="O81" s="58" t="n">
        <v>1047.99</v>
      </c>
      <c r="P81" s="20" t="inlineStr">
        <is>
          <t>Consumo previsto en Q1-27 Nacional</t>
        </is>
      </c>
    </row>
    <row r="82" ht="20" customHeight="1">
      <c r="A82" s="54" t="inlineStr">
        <is>
          <t>C-CUAE0020</t>
        </is>
      </c>
      <c r="B82" s="27" t="inlineStr">
        <is>
          <t>CUPRAMEC, 20 L</t>
        </is>
      </c>
      <c r="C82" s="27" t="inlineStr">
        <is>
          <t>Garrafas 20L</t>
        </is>
      </c>
      <c r="D82" s="32" t="n">
        <v>740</v>
      </c>
      <c r="E82" s="31" t="n">
        <v>14800</v>
      </c>
      <c r="F82" s="31" t="n">
        <v>0</v>
      </c>
      <c r="G82" s="31" t="n">
        <v>980</v>
      </c>
      <c r="H82" s="32" t="n">
        <v>980</v>
      </c>
      <c r="I82" s="32" t="n">
        <v>740</v>
      </c>
      <c r="J82" s="32" t="n">
        <v>0</v>
      </c>
      <c r="K82" s="31" t="n">
        <v>0</v>
      </c>
      <c r="L82" s="35" t="inlineStr">
        <is>
          <t>🟡 SlowMover (3-6M Nac)</t>
        </is>
      </c>
      <c r="M82" s="55" t="n">
        <v>0</v>
      </c>
      <c r="N82" s="55" t="n">
        <v>0</v>
      </c>
      <c r="O82" s="55" t="n">
        <v>0</v>
      </c>
      <c r="P82" s="27" t="inlineStr">
        <is>
          <t>Consumo previsto en Q1-27 Nacional</t>
        </is>
      </c>
    </row>
    <row r="83" ht="20" customHeight="1">
      <c r="A83" s="51" t="inlineStr">
        <is>
          <t>JF0005</t>
        </is>
      </c>
      <c r="B83" s="20" t="inlineStr">
        <is>
          <t>CODIGIN-FOS, 5 L</t>
        </is>
      </c>
      <c r="C83" s="20" t="inlineStr">
        <is>
          <t>Garrafas 5L</t>
        </is>
      </c>
      <c r="D83" s="23" t="n">
        <v>790</v>
      </c>
      <c r="E83" s="22" t="n">
        <v>3950</v>
      </c>
      <c r="F83" s="22" t="n">
        <v>100</v>
      </c>
      <c r="G83" s="22" t="n">
        <v>760</v>
      </c>
      <c r="H83" s="23" t="n">
        <v>860</v>
      </c>
      <c r="I83" s="23" t="n">
        <v>690</v>
      </c>
      <c r="J83" s="23" t="n">
        <v>0</v>
      </c>
      <c r="K83" s="22" t="n">
        <v>0</v>
      </c>
      <c r="L83" s="35" t="inlineStr">
        <is>
          <t>🟡 SlowMover (3-6M Nac)</t>
        </is>
      </c>
      <c r="M83" s="52" t="n">
        <v>1.156155803</v>
      </c>
      <c r="N83" s="52" t="n">
        <v>0</v>
      </c>
      <c r="O83" s="58" t="n">
        <v>797.75</v>
      </c>
      <c r="P83" s="20" t="inlineStr">
        <is>
          <t>Consumo previsto en Q1-27 Nacional</t>
        </is>
      </c>
    </row>
    <row r="84" ht="20" customHeight="1">
      <c r="A84" s="54" t="inlineStr">
        <is>
          <t>B0020</t>
        </is>
      </c>
      <c r="B84" s="27" t="inlineStr">
        <is>
          <t>BOROCAL, 20 L</t>
        </is>
      </c>
      <c r="C84" s="27" t="inlineStr">
        <is>
          <t>Garrafas 20L</t>
        </is>
      </c>
      <c r="D84" s="32" t="n">
        <v>4520</v>
      </c>
      <c r="E84" s="31" t="n">
        <v>90400</v>
      </c>
      <c r="F84" s="31" t="n">
        <v>3840</v>
      </c>
      <c r="G84" s="31" t="n">
        <v>9060</v>
      </c>
      <c r="H84" s="32" t="n">
        <v>12900</v>
      </c>
      <c r="I84" s="32" t="n">
        <v>680</v>
      </c>
      <c r="J84" s="32" t="n">
        <v>0</v>
      </c>
      <c r="K84" s="31" t="n">
        <v>0</v>
      </c>
      <c r="L84" s="35" t="inlineStr">
        <is>
          <t>🟡 SlowMover (3-6M Nac)</t>
        </is>
      </c>
      <c r="M84" s="55" t="n">
        <v>0.912261163</v>
      </c>
      <c r="N84" s="55" t="n">
        <v>0</v>
      </c>
      <c r="O84" s="57" t="n">
        <v>620.34</v>
      </c>
      <c r="P84" s="27" t="inlineStr">
        <is>
          <t>Consumo previsto en Q1-27 Nacional</t>
        </is>
      </c>
    </row>
    <row r="85" ht="20" customHeight="1">
      <c r="A85" s="51" t="inlineStr">
        <is>
          <t>C-CU0005</t>
        </is>
      </c>
      <c r="B85" s="20" t="inlineStr">
        <is>
          <t>CODICOBRE, 5 L</t>
        </is>
      </c>
      <c r="C85" s="20" t="inlineStr">
        <is>
          <t>Garrafas 5L</t>
        </is>
      </c>
      <c r="D85" s="23" t="n">
        <v>1840</v>
      </c>
      <c r="E85" s="22" t="n">
        <v>9200</v>
      </c>
      <c r="F85" s="22" t="n">
        <v>1200</v>
      </c>
      <c r="G85" s="22" t="n">
        <v>2130</v>
      </c>
      <c r="H85" s="23" t="n">
        <v>3330</v>
      </c>
      <c r="I85" s="23" t="n">
        <v>640</v>
      </c>
      <c r="J85" s="23" t="n">
        <v>0</v>
      </c>
      <c r="K85" s="22" t="n">
        <v>0</v>
      </c>
      <c r="L85" s="35" t="inlineStr">
        <is>
          <t>🟡 SlowMover (3-6M Nac)</t>
        </is>
      </c>
      <c r="M85" s="52" t="n">
        <v>1.735614356</v>
      </c>
      <c r="N85" s="52" t="n">
        <v>0</v>
      </c>
      <c r="O85" s="58" t="n">
        <v>1110.79</v>
      </c>
      <c r="P85" s="20" t="inlineStr">
        <is>
          <t>Consumo previsto en Q1-27 Nacional</t>
        </is>
      </c>
    </row>
    <row r="86" ht="20" customHeight="1">
      <c r="A86" s="54" t="inlineStr">
        <is>
          <t>C-L0005</t>
        </is>
      </c>
      <c r="B86" s="27" t="inlineStr">
        <is>
          <t>CODIBOR-L, 5 L</t>
        </is>
      </c>
      <c r="C86" s="27" t="inlineStr">
        <is>
          <t>Garrafas 5L</t>
        </is>
      </c>
      <c r="D86" s="32" t="n">
        <v>1040</v>
      </c>
      <c r="E86" s="31" t="n">
        <v>5200</v>
      </c>
      <c r="F86" s="31" t="n">
        <v>400</v>
      </c>
      <c r="G86" s="31" t="n">
        <v>5555</v>
      </c>
      <c r="H86" s="32" t="n">
        <v>5955</v>
      </c>
      <c r="I86" s="32" t="n">
        <v>640</v>
      </c>
      <c r="J86" s="32" t="n">
        <v>0</v>
      </c>
      <c r="K86" s="31" t="n">
        <v>0</v>
      </c>
      <c r="L86" s="35" t="inlineStr">
        <is>
          <t>🟡 SlowMover (3-6M Nac)</t>
        </is>
      </c>
      <c r="M86" s="55" t="n">
        <v>1.901092129</v>
      </c>
      <c r="N86" s="55" t="n">
        <v>0</v>
      </c>
      <c r="O86" s="57" t="n">
        <v>1216.7</v>
      </c>
      <c r="P86" s="27" t="inlineStr">
        <is>
          <t>Consumo previsto en Q1-27 Nacional</t>
        </is>
      </c>
    </row>
    <row r="87" ht="20" customHeight="1">
      <c r="A87" s="51" t="inlineStr">
        <is>
          <t>A-50(2)0020</t>
        </is>
      </c>
      <c r="B87" s="20" t="inlineStr">
        <is>
          <t>CODIORGAN A-50, 20 KG</t>
        </is>
      </c>
      <c r="C87" s="20" t="inlineStr">
        <is>
          <t>Garrafas 20L</t>
        </is>
      </c>
      <c r="D87" s="23" t="n">
        <v>580</v>
      </c>
      <c r="E87" s="22" t="n">
        <v>11600</v>
      </c>
      <c r="F87" s="22" t="n">
        <v>0</v>
      </c>
      <c r="G87" s="22" t="n">
        <v>1980</v>
      </c>
      <c r="H87" s="23" t="n">
        <v>1980</v>
      </c>
      <c r="I87" s="23" t="n">
        <v>580</v>
      </c>
      <c r="J87" s="23" t="n">
        <v>0</v>
      </c>
      <c r="K87" s="22" t="n">
        <v>0</v>
      </c>
      <c r="L87" s="35" t="inlineStr">
        <is>
          <t>🟡 SlowMover (3-6M Nac)</t>
        </is>
      </c>
      <c r="M87" s="52" t="n">
        <v>1.746622963</v>
      </c>
      <c r="N87" s="52" t="n">
        <v>0</v>
      </c>
      <c r="O87" s="58" t="n">
        <v>1013.04</v>
      </c>
      <c r="P87" s="20" t="inlineStr">
        <is>
          <t>Consumo previsto en Q1-27 Nacional</t>
        </is>
      </c>
    </row>
    <row r="88" ht="20" customHeight="1">
      <c r="A88" s="54" t="inlineStr">
        <is>
          <t>N0020</t>
        </is>
      </c>
      <c r="B88" s="27" t="inlineStr">
        <is>
          <t>NUTRICALE, 20 L</t>
        </is>
      </c>
      <c r="C88" s="27" t="inlineStr">
        <is>
          <t>Garrafas 20L</t>
        </is>
      </c>
      <c r="D88" s="32" t="n">
        <v>3080</v>
      </c>
      <c r="E88" s="31" t="n">
        <v>61600</v>
      </c>
      <c r="F88" s="31" t="n">
        <v>2560</v>
      </c>
      <c r="G88" s="31" t="n">
        <v>1440</v>
      </c>
      <c r="H88" s="32" t="n">
        <v>4000</v>
      </c>
      <c r="I88" s="32" t="n">
        <v>520</v>
      </c>
      <c r="J88" s="32" t="n">
        <v>0</v>
      </c>
      <c r="K88" s="31" t="n">
        <v>0</v>
      </c>
      <c r="L88" s="35" t="inlineStr">
        <is>
          <t>🟡 SlowMover (3-6M Nac)</t>
        </is>
      </c>
      <c r="M88" s="55" t="n">
        <v>0.829425377</v>
      </c>
      <c r="N88" s="55" t="n">
        <v>0</v>
      </c>
      <c r="O88" s="57" t="n">
        <v>431.3</v>
      </c>
      <c r="P88" s="27" t="inlineStr">
        <is>
          <t>Consumo previsto en Q1-27 Nacional</t>
        </is>
      </c>
    </row>
    <row r="89" ht="20" customHeight="1">
      <c r="A89" s="51" t="inlineStr">
        <is>
          <t>SPCE2B0020</t>
        </is>
      </c>
      <c r="B89" s="20" t="inlineStr">
        <is>
          <t>SPRINTENE CON BORO</t>
        </is>
      </c>
      <c r="C89" s="20" t="inlineStr">
        <is>
          <t>Garrafas 20L</t>
        </is>
      </c>
      <c r="D89" s="23" t="n">
        <v>1720</v>
      </c>
      <c r="E89" s="22" t="n">
        <v>34400</v>
      </c>
      <c r="F89" s="22" t="n">
        <v>1280</v>
      </c>
      <c r="G89" s="22" t="n">
        <v>2360</v>
      </c>
      <c r="H89" s="23" t="n">
        <v>3640</v>
      </c>
      <c r="I89" s="23" t="n">
        <v>440</v>
      </c>
      <c r="J89" s="23" t="n">
        <v>0</v>
      </c>
      <c r="K89" s="22" t="n">
        <v>0</v>
      </c>
      <c r="L89" s="35" t="inlineStr">
        <is>
          <t>🟡 SlowMover (3-6M Nac)</t>
        </is>
      </c>
      <c r="M89" s="52" t="n">
        <v>4.779781021</v>
      </c>
      <c r="N89" s="52" t="n">
        <v>0</v>
      </c>
      <c r="O89" s="58" t="n">
        <v>2103.1</v>
      </c>
      <c r="P89" s="20" t="inlineStr">
        <is>
          <t>Consumo previsto en Q1-27 Nacional</t>
        </is>
      </c>
    </row>
    <row r="90" ht="20" customHeight="1">
      <c r="A90" s="54" t="inlineStr">
        <is>
          <t>SSAE0005</t>
        </is>
      </c>
      <c r="B90" s="27" t="inlineStr">
        <is>
          <t>MAGNIFIC-VIETS-AE, 5 KG</t>
        </is>
      </c>
      <c r="C90" s="27" t="inlineStr">
        <is>
          <t>Garrafas 5L</t>
        </is>
      </c>
      <c r="D90" s="32" t="n">
        <v>485</v>
      </c>
      <c r="E90" s="31" t="n">
        <v>2425</v>
      </c>
      <c r="F90" s="31" t="n">
        <v>200</v>
      </c>
      <c r="G90" s="31" t="n">
        <v>480</v>
      </c>
      <c r="H90" s="32" t="n">
        <v>680</v>
      </c>
      <c r="I90" s="32" t="n">
        <v>285</v>
      </c>
      <c r="J90" s="32" t="n">
        <v>0</v>
      </c>
      <c r="K90" s="31" t="n">
        <v>0</v>
      </c>
      <c r="L90" s="35" t="inlineStr">
        <is>
          <t>🟡 SlowMover (3-6M Nac)</t>
        </is>
      </c>
      <c r="M90" s="55" t="n">
        <v>1.408290539</v>
      </c>
      <c r="N90" s="55" t="n">
        <v>0</v>
      </c>
      <c r="O90" s="57" t="n">
        <v>401.36</v>
      </c>
      <c r="P90" s="27" t="inlineStr">
        <is>
          <t>Consumo previsto en Q1-27 Nacional</t>
        </is>
      </c>
    </row>
    <row r="91" ht="20" customHeight="1">
      <c r="A91" s="51" t="inlineStr">
        <is>
          <t>C-L0020</t>
        </is>
      </c>
      <c r="B91" s="20" t="inlineStr">
        <is>
          <t>CODIBOR-L, 20 L</t>
        </is>
      </c>
      <c r="C91" s="20" t="inlineStr">
        <is>
          <t>Garrafas 20L</t>
        </is>
      </c>
      <c r="D91" s="23" t="n">
        <v>260</v>
      </c>
      <c r="E91" s="22" t="n">
        <v>5200</v>
      </c>
      <c r="F91" s="22" t="n">
        <v>0</v>
      </c>
      <c r="G91" s="22" t="n">
        <v>600</v>
      </c>
      <c r="H91" s="23" t="n">
        <v>600</v>
      </c>
      <c r="I91" s="23" t="n">
        <v>260</v>
      </c>
      <c r="J91" s="23" t="n">
        <v>0</v>
      </c>
      <c r="K91" s="22" t="n">
        <v>0</v>
      </c>
      <c r="L91" s="35" t="inlineStr">
        <is>
          <t>🟡 SlowMover (3-6M Nac)</t>
        </is>
      </c>
      <c r="M91" s="52" t="n">
        <v>0</v>
      </c>
      <c r="N91" s="52" t="n">
        <v>0</v>
      </c>
      <c r="O91" s="52" t="n">
        <v>0</v>
      </c>
      <c r="P91" s="20" t="inlineStr">
        <is>
          <t>Consumo previsto en Q1-27 Nacional</t>
        </is>
      </c>
    </row>
    <row r="92" ht="20" customHeight="1">
      <c r="A92" s="54" t="inlineStr">
        <is>
          <t>SS0005</t>
        </is>
      </c>
      <c r="B92" s="27" t="inlineStr">
        <is>
          <t>SALWAX-CA, 5 KG</t>
        </is>
      </c>
      <c r="C92" s="27" t="inlineStr">
        <is>
          <t>Garrafas 5L</t>
        </is>
      </c>
      <c r="D92" s="32" t="n">
        <v>1010</v>
      </c>
      <c r="E92" s="31" t="n">
        <v>5050</v>
      </c>
      <c r="F92" s="31" t="n">
        <v>750</v>
      </c>
      <c r="G92" s="31" t="n">
        <v>1055</v>
      </c>
      <c r="H92" s="32" t="n">
        <v>1805</v>
      </c>
      <c r="I92" s="32" t="n">
        <v>260</v>
      </c>
      <c r="J92" s="32" t="n">
        <v>0</v>
      </c>
      <c r="K92" s="31" t="n">
        <v>0</v>
      </c>
      <c r="L92" s="35" t="inlineStr">
        <is>
          <t>🟡 SlowMover (3-6M Nac)</t>
        </is>
      </c>
      <c r="M92" s="55" t="n">
        <v>1.188039774</v>
      </c>
      <c r="N92" s="55" t="n">
        <v>0</v>
      </c>
      <c r="O92" s="57" t="n">
        <v>308.89</v>
      </c>
      <c r="P92" s="27" t="inlineStr">
        <is>
          <t>Consumo previsto en Q1-27 Nacional</t>
        </is>
      </c>
    </row>
    <row r="93" ht="20" customHeight="1">
      <c r="A93" s="51" t="inlineStr">
        <is>
          <t>C-GLB0001</t>
        </is>
      </c>
      <c r="B93" s="20" t="inlineStr">
        <is>
          <t>CODIORGAN GLB, 1 KG</t>
        </is>
      </c>
      <c r="C93" s="20" t="inlineStr">
        <is>
          <t>Botellas 1L</t>
        </is>
      </c>
      <c r="D93" s="23" t="n">
        <v>809</v>
      </c>
      <c r="E93" s="22" t="n">
        <v>809</v>
      </c>
      <c r="F93" s="22" t="n">
        <v>552</v>
      </c>
      <c r="G93" s="22" t="n">
        <v>358</v>
      </c>
      <c r="H93" s="23" t="n">
        <v>910</v>
      </c>
      <c r="I93" s="23" t="n">
        <v>257</v>
      </c>
      <c r="J93" s="23" t="n">
        <v>0</v>
      </c>
      <c r="K93" s="22" t="n">
        <v>0</v>
      </c>
      <c r="L93" s="35" t="inlineStr">
        <is>
          <t>🟡 SlowMover (3-6M Nac)</t>
        </is>
      </c>
      <c r="M93" s="52" t="n">
        <v>3.751106806</v>
      </c>
      <c r="N93" s="52" t="n">
        <v>0</v>
      </c>
      <c r="O93" s="58" t="n">
        <v>964.03</v>
      </c>
      <c r="P93" s="20" t="inlineStr">
        <is>
          <t>Consumo previsto en Q1-27 Nacional</t>
        </is>
      </c>
    </row>
    <row r="94" ht="20" customHeight="1">
      <c r="A94" s="54" t="inlineStr">
        <is>
          <t>BPLUS20005</t>
        </is>
      </c>
      <c r="B94" s="27" t="inlineStr">
        <is>
          <t>BOROCAL PLUS, 5 KG</t>
        </is>
      </c>
      <c r="C94" s="27" t="inlineStr">
        <is>
          <t>Garrafas 5L</t>
        </is>
      </c>
      <c r="D94" s="32" t="n">
        <v>235</v>
      </c>
      <c r="E94" s="31" t="n">
        <v>1175</v>
      </c>
      <c r="F94" s="31" t="n">
        <v>0</v>
      </c>
      <c r="G94" s="31" t="n">
        <v>645</v>
      </c>
      <c r="H94" s="32" t="n">
        <v>645</v>
      </c>
      <c r="I94" s="32" t="n">
        <v>235</v>
      </c>
      <c r="J94" s="32" t="n">
        <v>0</v>
      </c>
      <c r="K94" s="31" t="n">
        <v>0</v>
      </c>
      <c r="L94" s="35" t="inlineStr">
        <is>
          <t>🟡 SlowMover (3-6M Nac)</t>
        </is>
      </c>
      <c r="M94" s="55" t="n">
        <v>1.798375791</v>
      </c>
      <c r="N94" s="55" t="n">
        <v>0</v>
      </c>
      <c r="O94" s="57" t="n">
        <v>422.62</v>
      </c>
      <c r="P94" s="27" t="inlineStr">
        <is>
          <t>Consumo previsto en Q1-27 Nacional</t>
        </is>
      </c>
    </row>
    <row r="95" ht="20" customHeight="1">
      <c r="A95" s="51" t="inlineStr">
        <is>
          <t>A-50(2)0005</t>
        </is>
      </c>
      <c r="B95" s="20" t="inlineStr">
        <is>
          <t>CODIORGAN-A50, 5 KG</t>
        </is>
      </c>
      <c r="C95" s="20" t="inlineStr">
        <is>
          <t>Garrafas 5L</t>
        </is>
      </c>
      <c r="D95" s="23" t="n">
        <v>2085</v>
      </c>
      <c r="E95" s="22" t="n">
        <v>10425</v>
      </c>
      <c r="F95" s="22" t="n">
        <v>1875</v>
      </c>
      <c r="G95" s="22" t="n">
        <v>2955</v>
      </c>
      <c r="H95" s="23" t="n">
        <v>4830</v>
      </c>
      <c r="I95" s="23" t="n">
        <v>210</v>
      </c>
      <c r="J95" s="23" t="n">
        <v>0</v>
      </c>
      <c r="K95" s="22" t="n">
        <v>0</v>
      </c>
      <c r="L95" s="35" t="inlineStr">
        <is>
          <t>🟡 SlowMover (3-6M Nac)</t>
        </is>
      </c>
      <c r="M95" s="52" t="n">
        <v>1.709439653</v>
      </c>
      <c r="N95" s="52" t="n">
        <v>0</v>
      </c>
      <c r="O95" s="58" t="n">
        <v>358.98</v>
      </c>
      <c r="P95" s="20" t="inlineStr">
        <is>
          <t>Consumo previsto en Q1-27 Nacional</t>
        </is>
      </c>
    </row>
    <row r="96" ht="20" customHeight="1">
      <c r="A96" s="54" t="inlineStr">
        <is>
          <t>RUN0020</t>
        </is>
      </c>
      <c r="B96" s="27" t="inlineStr">
        <is>
          <t>RUN STRESS, 20 L</t>
        </is>
      </c>
      <c r="C96" s="27" t="inlineStr">
        <is>
          <t>Garrafas 20L</t>
        </is>
      </c>
      <c r="D96" s="32" t="n">
        <v>140</v>
      </c>
      <c r="E96" s="31" t="n">
        <v>2800</v>
      </c>
      <c r="F96" s="31" t="n">
        <v>0</v>
      </c>
      <c r="G96" s="31" t="n">
        <v>560</v>
      </c>
      <c r="H96" s="32" t="n">
        <v>560</v>
      </c>
      <c r="I96" s="32" t="n">
        <v>140</v>
      </c>
      <c r="J96" s="32" t="n">
        <v>0</v>
      </c>
      <c r="K96" s="31" t="n">
        <v>0</v>
      </c>
      <c r="L96" s="35" t="inlineStr">
        <is>
          <t>🟡 SlowMover (3-6M Nac)</t>
        </is>
      </c>
      <c r="M96" s="55" t="n">
        <v>3.884360639</v>
      </c>
      <c r="N96" s="55" t="n">
        <v>0</v>
      </c>
      <c r="O96" s="57" t="n">
        <v>543.8099999999999</v>
      </c>
      <c r="P96" s="27" t="inlineStr">
        <is>
          <t>Consumo previsto en Q1-27 Nacional</t>
        </is>
      </c>
    </row>
    <row r="97" ht="20" customHeight="1">
      <c r="A97" s="51" t="inlineStr">
        <is>
          <t>AGXKAEP0005</t>
        </is>
      </c>
      <c r="B97" s="20" t="inlineStr">
        <is>
          <t>BIOCULTURE POTASIO PLUS, 5 L</t>
        </is>
      </c>
      <c r="C97" s="20" t="inlineStr">
        <is>
          <t>Garrafas 5L</t>
        </is>
      </c>
      <c r="D97" s="23" t="n">
        <v>100</v>
      </c>
      <c r="E97" s="22" t="n">
        <v>500</v>
      </c>
      <c r="F97" s="22" t="n">
        <v>0</v>
      </c>
      <c r="G97" s="22" t="n">
        <v>110</v>
      </c>
      <c r="H97" s="23" t="n">
        <v>110</v>
      </c>
      <c r="I97" s="23" t="n">
        <v>100</v>
      </c>
      <c r="J97" s="23" t="n">
        <v>0</v>
      </c>
      <c r="K97" s="22" t="n">
        <v>0</v>
      </c>
      <c r="L97" s="35" t="inlineStr">
        <is>
          <t>🟡 SlowMover (3-6M Nac)</t>
        </is>
      </c>
      <c r="M97" s="52" t="n">
        <v>1.063734813</v>
      </c>
      <c r="N97" s="52" t="n">
        <v>0</v>
      </c>
      <c r="O97" s="58" t="n">
        <v>106.37</v>
      </c>
      <c r="P97" s="20" t="inlineStr">
        <is>
          <t>Consumo previsto en Q1-27 Nacional</t>
        </is>
      </c>
    </row>
    <row r="98" ht="20" customHeight="1">
      <c r="A98" s="54" t="inlineStr">
        <is>
          <t>C-MB0001</t>
        </is>
      </c>
      <c r="B98" s="27" t="inlineStr">
        <is>
          <t>CODIFOL-MB, 1 L</t>
        </is>
      </c>
      <c r="C98" s="27" t="inlineStr">
        <is>
          <t>Botellas 1L</t>
        </is>
      </c>
      <c r="D98" s="32" t="n">
        <v>84</v>
      </c>
      <c r="E98" s="31" t="n">
        <v>84</v>
      </c>
      <c r="F98" s="31" t="n">
        <v>0</v>
      </c>
      <c r="G98" s="31" t="n">
        <v>114</v>
      </c>
      <c r="H98" s="32" t="n">
        <v>114</v>
      </c>
      <c r="I98" s="32" t="n">
        <v>84</v>
      </c>
      <c r="J98" s="32" t="n">
        <v>0</v>
      </c>
      <c r="K98" s="31" t="n">
        <v>0</v>
      </c>
      <c r="L98" s="35" t="inlineStr">
        <is>
          <t>🟡 SlowMover (3-6M Nac)</t>
        </is>
      </c>
      <c r="M98" s="55" t="n">
        <v>4.116960542</v>
      </c>
      <c r="N98" s="55" t="n">
        <v>0</v>
      </c>
      <c r="O98" s="57" t="n">
        <v>345.82</v>
      </c>
      <c r="P98" s="27" t="inlineStr">
        <is>
          <t>Consumo previsto en Q1-27 Nacional</t>
        </is>
      </c>
    </row>
    <row r="99" ht="20" customHeight="1">
      <c r="A99" s="51" t="inlineStr">
        <is>
          <t>RUN0005</t>
        </is>
      </c>
      <c r="B99" s="20" t="inlineStr">
        <is>
          <t>RUN STRESS, 5 L</t>
        </is>
      </c>
      <c r="C99" s="20" t="inlineStr">
        <is>
          <t>Garrafas 5L</t>
        </is>
      </c>
      <c r="D99" s="23" t="n">
        <v>80</v>
      </c>
      <c r="E99" s="22" t="n">
        <v>400</v>
      </c>
      <c r="F99" s="22" t="n">
        <v>0</v>
      </c>
      <c r="G99" s="22" t="n">
        <v>1450</v>
      </c>
      <c r="H99" s="23" t="n">
        <v>1450</v>
      </c>
      <c r="I99" s="23" t="n">
        <v>80</v>
      </c>
      <c r="J99" s="23" t="n">
        <v>0</v>
      </c>
      <c r="K99" s="22" t="n">
        <v>0</v>
      </c>
      <c r="L99" s="35" t="inlineStr">
        <is>
          <t>🟡 SlowMover (3-6M Nac)</t>
        </is>
      </c>
      <c r="M99" s="52" t="n">
        <v>4.180478427</v>
      </c>
      <c r="N99" s="52" t="n">
        <v>0</v>
      </c>
      <c r="O99" s="58" t="n">
        <v>334.44</v>
      </c>
      <c r="P99" s="20" t="inlineStr">
        <is>
          <t>Consumo previsto en Q1-27 Nacional</t>
        </is>
      </c>
    </row>
    <row r="100" ht="20" customHeight="1">
      <c r="A100" s="54" t="inlineStr">
        <is>
          <t>BEY0020</t>
        </is>
      </c>
      <c r="B100" s="27" t="inlineStr">
        <is>
          <t>FLORAMEC PLUS 20 L</t>
        </is>
      </c>
      <c r="C100" s="27" t="inlineStr">
        <is>
          <t>Garrafas 20L</t>
        </is>
      </c>
      <c r="D100" s="32" t="n">
        <v>80</v>
      </c>
      <c r="E100" s="31" t="n">
        <v>1600</v>
      </c>
      <c r="F100" s="31" t="n">
        <v>0</v>
      </c>
      <c r="G100" s="31" t="n">
        <v>220</v>
      </c>
      <c r="H100" s="32" t="n">
        <v>220</v>
      </c>
      <c r="I100" s="32" t="n">
        <v>80</v>
      </c>
      <c r="J100" s="32" t="n">
        <v>0</v>
      </c>
      <c r="K100" s="31" t="n">
        <v>0</v>
      </c>
      <c r="L100" s="35" t="inlineStr">
        <is>
          <t>🟡 SlowMover (3-6M Nac)</t>
        </is>
      </c>
      <c r="M100" s="55" t="n">
        <v>1.59930044</v>
      </c>
      <c r="N100" s="55" t="n">
        <v>0</v>
      </c>
      <c r="O100" s="57" t="n">
        <v>127.94</v>
      </c>
      <c r="P100" s="27" t="inlineStr">
        <is>
          <t>Consumo previsto en Q1-27 Nacional</t>
        </is>
      </c>
    </row>
    <row r="101" ht="20" customHeight="1">
      <c r="A101" s="51" t="inlineStr">
        <is>
          <t>TRI0001</t>
        </is>
      </c>
      <c r="B101" s="20" t="inlineStr">
        <is>
          <t>TRIFENO-94, 1 L</t>
        </is>
      </c>
      <c r="C101" s="20" t="inlineStr">
        <is>
          <t>Botellas 1L</t>
        </is>
      </c>
      <c r="D101" s="23" t="n">
        <v>292</v>
      </c>
      <c r="E101" s="22" t="n">
        <v>292</v>
      </c>
      <c r="F101" s="22" t="n">
        <v>216</v>
      </c>
      <c r="G101" s="22" t="n">
        <v>387</v>
      </c>
      <c r="H101" s="23" t="n">
        <v>603</v>
      </c>
      <c r="I101" s="23" t="n">
        <v>76</v>
      </c>
      <c r="J101" s="23" t="n">
        <v>0</v>
      </c>
      <c r="K101" s="22" t="n">
        <v>0</v>
      </c>
      <c r="L101" s="35" t="inlineStr">
        <is>
          <t>🟡 SlowMover (3-6M Nac)</t>
        </is>
      </c>
      <c r="M101" s="52" t="n">
        <v>2.463336865</v>
      </c>
      <c r="N101" s="52" t="n">
        <v>0</v>
      </c>
      <c r="O101" s="58" t="n">
        <v>187.21</v>
      </c>
      <c r="P101" s="20" t="inlineStr">
        <is>
          <t>Consumo previsto en Q1-27 Nacional</t>
        </is>
      </c>
    </row>
    <row r="102" ht="20" customHeight="1">
      <c r="A102" s="54" t="inlineStr">
        <is>
          <t>C-M-P0001</t>
        </is>
      </c>
      <c r="B102" s="27" t="inlineStr">
        <is>
          <t>CODIFOL Mo-PLUS, 1 L</t>
        </is>
      </c>
      <c r="C102" s="27" t="inlineStr">
        <is>
          <t>Botellas 1L</t>
        </is>
      </c>
      <c r="D102" s="32" t="n">
        <v>72</v>
      </c>
      <c r="E102" s="31" t="n">
        <v>72</v>
      </c>
      <c r="F102" s="31" t="n">
        <v>0</v>
      </c>
      <c r="G102" s="31" t="n">
        <v>101</v>
      </c>
      <c r="H102" s="32" t="n">
        <v>101</v>
      </c>
      <c r="I102" s="32" t="n">
        <v>72</v>
      </c>
      <c r="J102" s="32" t="n">
        <v>0</v>
      </c>
      <c r="K102" s="31" t="n">
        <v>0</v>
      </c>
      <c r="L102" s="35" t="inlineStr">
        <is>
          <t>🟡 SlowMover (3-6M Nac)</t>
        </is>
      </c>
      <c r="M102" s="55" t="n">
        <v>9.755021372</v>
      </c>
      <c r="N102" s="55" t="n">
        <v>0</v>
      </c>
      <c r="O102" s="57" t="n">
        <v>702.36</v>
      </c>
      <c r="P102" s="27" t="inlineStr">
        <is>
          <t>Consumo previsto en Q1-27 Nacional</t>
        </is>
      </c>
    </row>
    <row r="103" ht="20" customHeight="1">
      <c r="A103" s="51" t="inlineStr">
        <is>
          <t>B0005</t>
        </is>
      </c>
      <c r="B103" s="20" t="inlineStr">
        <is>
          <t>BOROCAL, 5 L</t>
        </is>
      </c>
      <c r="C103" s="20" t="inlineStr">
        <is>
          <t>Garrafas 5L</t>
        </is>
      </c>
      <c r="D103" s="23" t="n">
        <v>590</v>
      </c>
      <c r="E103" s="22" t="n">
        <v>2950</v>
      </c>
      <c r="F103" s="22" t="n">
        <v>520</v>
      </c>
      <c r="G103" s="22" t="n">
        <v>435</v>
      </c>
      <c r="H103" s="23" t="n">
        <v>955</v>
      </c>
      <c r="I103" s="23" t="n">
        <v>70</v>
      </c>
      <c r="J103" s="23" t="n">
        <v>0</v>
      </c>
      <c r="K103" s="22" t="n">
        <v>0</v>
      </c>
      <c r="L103" s="35" t="inlineStr">
        <is>
          <t>🟡 SlowMover (3-6M Nac)</t>
        </is>
      </c>
      <c r="M103" s="52" t="n">
        <v>0.981135536</v>
      </c>
      <c r="N103" s="52" t="n">
        <v>0</v>
      </c>
      <c r="O103" s="58" t="n">
        <v>68.68000000000001</v>
      </c>
      <c r="P103" s="20" t="inlineStr">
        <is>
          <t>Consumo previsto en Q1-27 Nacional</t>
        </is>
      </c>
    </row>
    <row r="104" ht="20" customHeight="1">
      <c r="A104" s="54" t="inlineStr">
        <is>
          <t>C-L0001</t>
        </is>
      </c>
      <c r="B104" s="27" t="inlineStr">
        <is>
          <t>CODIBOR-L, 1 L</t>
        </is>
      </c>
      <c r="C104" s="27" t="inlineStr">
        <is>
          <t>Botellas 1L</t>
        </is>
      </c>
      <c r="D104" s="32" t="n">
        <v>60</v>
      </c>
      <c r="E104" s="31" t="n">
        <v>60</v>
      </c>
      <c r="F104" s="31" t="n">
        <v>0</v>
      </c>
      <c r="G104" s="31" t="n">
        <v>204</v>
      </c>
      <c r="H104" s="32" t="n">
        <v>204</v>
      </c>
      <c r="I104" s="32" t="n">
        <v>60</v>
      </c>
      <c r="J104" s="32" t="n">
        <v>0</v>
      </c>
      <c r="K104" s="31" t="n">
        <v>0</v>
      </c>
      <c r="L104" s="35" t="inlineStr">
        <is>
          <t>🟡 SlowMover (3-6M Nac)</t>
        </is>
      </c>
      <c r="M104" s="55" t="n">
        <v>2.460987652</v>
      </c>
      <c r="N104" s="55" t="n">
        <v>0</v>
      </c>
      <c r="O104" s="57" t="n">
        <v>147.66</v>
      </c>
      <c r="P104" s="27" t="inlineStr">
        <is>
          <t>Consumo previsto en Q1-27 Nacional</t>
        </is>
      </c>
    </row>
    <row r="105" ht="20" customHeight="1">
      <c r="A105" s="51" t="inlineStr">
        <is>
          <t>AGZNP0005</t>
        </is>
      </c>
      <c r="B105" s="20" t="inlineStr">
        <is>
          <t>AGROXILATO ZN PLUS, 5 KG</t>
        </is>
      </c>
      <c r="C105" s="20" t="inlineStr">
        <is>
          <t>Garrafas 5L</t>
        </is>
      </c>
      <c r="D105" s="23" t="n">
        <v>1000</v>
      </c>
      <c r="E105" s="22" t="n">
        <v>5000</v>
      </c>
      <c r="F105" s="22" t="n">
        <v>950</v>
      </c>
      <c r="G105" s="22" t="n">
        <v>7695</v>
      </c>
      <c r="H105" s="23" t="n">
        <v>8645</v>
      </c>
      <c r="I105" s="23" t="n">
        <v>50</v>
      </c>
      <c r="J105" s="23" t="n">
        <v>0</v>
      </c>
      <c r="K105" s="22" t="n">
        <v>0</v>
      </c>
      <c r="L105" s="35" t="inlineStr">
        <is>
          <t>🟡 SlowMover (3-6M Nac)</t>
        </is>
      </c>
      <c r="M105" s="52" t="n">
        <v>0</v>
      </c>
      <c r="N105" s="52" t="n">
        <v>0</v>
      </c>
      <c r="O105" s="52" t="n">
        <v>0</v>
      </c>
      <c r="P105" s="20" t="inlineStr">
        <is>
          <t>Consumo previsto en Q1-27 Nacional</t>
        </is>
      </c>
    </row>
    <row r="106" ht="20" customHeight="1">
      <c r="A106" s="54" t="inlineStr">
        <is>
          <t>CBROT0001</t>
        </is>
      </c>
      <c r="B106" s="27" t="inlineStr">
        <is>
          <t>CODIBROT, 1 L</t>
        </is>
      </c>
      <c r="C106" s="27" t="inlineStr">
        <is>
          <t>Botellas 1L</t>
        </is>
      </c>
      <c r="D106" s="32" t="n">
        <v>24</v>
      </c>
      <c r="E106" s="31" t="n">
        <v>24</v>
      </c>
      <c r="F106" s="31" t="n">
        <v>0</v>
      </c>
      <c r="G106" s="31" t="n">
        <v>26</v>
      </c>
      <c r="H106" s="32" t="n">
        <v>26</v>
      </c>
      <c r="I106" s="32" t="n">
        <v>24</v>
      </c>
      <c r="J106" s="32" t="n">
        <v>0</v>
      </c>
      <c r="K106" s="31" t="n">
        <v>0</v>
      </c>
      <c r="L106" s="35" t="inlineStr">
        <is>
          <t>🟡 SlowMover (3-6M Nac)</t>
        </is>
      </c>
      <c r="M106" s="55" t="n">
        <v>2.202275768</v>
      </c>
      <c r="N106" s="55" t="n">
        <v>0</v>
      </c>
      <c r="O106" s="57" t="n">
        <v>52.85</v>
      </c>
      <c r="P106" s="27" t="inlineStr">
        <is>
          <t>Consumo previsto en Q1-27 Nacional</t>
        </is>
      </c>
    </row>
    <row r="107" ht="20" customHeight="1">
      <c r="A107" s="51" t="inlineStr">
        <is>
          <t>AGFE0001</t>
        </is>
      </c>
      <c r="B107" s="20" t="inlineStr">
        <is>
          <t>AGROXILATO-FE, 1 KG</t>
        </is>
      </c>
      <c r="C107" s="20" t="inlineStr">
        <is>
          <t>Botellas 1L</t>
        </is>
      </c>
      <c r="D107" s="23" t="n">
        <v>10</v>
      </c>
      <c r="E107" s="22" t="n">
        <v>10</v>
      </c>
      <c r="F107" s="22" t="n">
        <v>0</v>
      </c>
      <c r="G107" s="22" t="n">
        <v>86</v>
      </c>
      <c r="H107" s="23" t="n">
        <v>86</v>
      </c>
      <c r="I107" s="23" t="n">
        <v>10</v>
      </c>
      <c r="J107" s="23" t="n">
        <v>0</v>
      </c>
      <c r="K107" s="22" t="n">
        <v>0</v>
      </c>
      <c r="L107" s="35" t="inlineStr">
        <is>
          <t>🟡 SlowMover (3-6M Nac)</t>
        </is>
      </c>
      <c r="M107" s="52" t="n">
        <v>4.038956501</v>
      </c>
      <c r="N107" s="52" t="n">
        <v>0</v>
      </c>
      <c r="O107" s="58" t="n">
        <v>40.39</v>
      </c>
      <c r="P107" s="20" t="inlineStr">
        <is>
          <t>Consumo previsto en Q1-27 Nacional</t>
        </is>
      </c>
    </row>
    <row r="108" ht="20" customHeight="1">
      <c r="A108" s="54" t="inlineStr">
        <is>
          <t>BIO0020</t>
        </is>
      </c>
      <c r="B108" s="27" t="inlineStr">
        <is>
          <t>BIORAD-20, 20 L</t>
        </is>
      </c>
      <c r="C108" s="27" t="inlineStr">
        <is>
          <t>Garrafas 20L</t>
        </is>
      </c>
      <c r="D108" s="32" t="n">
        <v>5780</v>
      </c>
      <c r="E108" s="31" t="n">
        <v>115600</v>
      </c>
      <c r="F108" s="31" t="n">
        <v>13080</v>
      </c>
      <c r="G108" s="31" t="n">
        <v>9380</v>
      </c>
      <c r="H108" s="32" t="n">
        <v>22460</v>
      </c>
      <c r="I108" s="32" t="n">
        <v>0</v>
      </c>
      <c r="J108" s="32" t="n">
        <v>0</v>
      </c>
      <c r="K108" s="31" t="n">
        <v>0</v>
      </c>
      <c r="L108" s="36" t="inlineStr">
        <is>
          <t>🟢 Alta Rotación (0-3M Nac)</t>
        </is>
      </c>
      <c r="M108" s="55" t="n">
        <v>0.709680779</v>
      </c>
      <c r="N108" s="55" t="n">
        <v>0</v>
      </c>
      <c r="O108" s="55" t="n">
        <v>0</v>
      </c>
      <c r="P108" s="27" t="inlineStr">
        <is>
          <t>Rotación Normal en Campaña Q4</t>
        </is>
      </c>
    </row>
    <row r="109" ht="20" customHeight="1">
      <c r="A109" s="51" t="inlineStr">
        <is>
          <t>BROTA0020</t>
        </is>
      </c>
      <c r="B109" s="20" t="inlineStr">
        <is>
          <t>BROTAMEC, 20 L</t>
        </is>
      </c>
      <c r="C109" s="20" t="inlineStr">
        <is>
          <t>Garrafas 20L</t>
        </is>
      </c>
      <c r="D109" s="23" t="n">
        <v>2100</v>
      </c>
      <c r="E109" s="22" t="n">
        <v>42000</v>
      </c>
      <c r="F109" s="22" t="n">
        <v>2240</v>
      </c>
      <c r="G109" s="22" t="n">
        <v>3180</v>
      </c>
      <c r="H109" s="23" t="n">
        <v>5420</v>
      </c>
      <c r="I109" s="23" t="n">
        <v>0</v>
      </c>
      <c r="J109" s="23" t="n">
        <v>0</v>
      </c>
      <c r="K109" s="22" t="n">
        <v>0</v>
      </c>
      <c r="L109" s="36" t="inlineStr">
        <is>
          <t>🟢 Alta Rotación (0-3M Nac)</t>
        </is>
      </c>
      <c r="M109" s="52" t="n">
        <v>1.110221424</v>
      </c>
      <c r="N109" s="52" t="n">
        <v>0</v>
      </c>
      <c r="O109" s="52" t="n">
        <v>0</v>
      </c>
      <c r="P109" s="20" t="inlineStr">
        <is>
          <t>Rotación Normal en Campaña Q4</t>
        </is>
      </c>
    </row>
    <row r="110" ht="20" customHeight="1">
      <c r="A110" s="54" t="inlineStr">
        <is>
          <t>PIV0020</t>
        </is>
      </c>
      <c r="B110" s="27" t="inlineStr">
        <is>
          <t>PGR IV, 20 L</t>
        </is>
      </c>
      <c r="C110" s="27" t="inlineStr">
        <is>
          <t>Garrafas 20L</t>
        </is>
      </c>
      <c r="D110" s="32" t="n">
        <v>1820</v>
      </c>
      <c r="E110" s="31" t="n">
        <v>36400</v>
      </c>
      <c r="F110" s="31" t="n">
        <v>10240</v>
      </c>
      <c r="G110" s="31" t="n">
        <v>980</v>
      </c>
      <c r="H110" s="32" t="n">
        <v>11220</v>
      </c>
      <c r="I110" s="32" t="n">
        <v>0</v>
      </c>
      <c r="J110" s="32" t="n">
        <v>0</v>
      </c>
      <c r="K110" s="31" t="n">
        <v>0</v>
      </c>
      <c r="L110" s="36" t="inlineStr">
        <is>
          <t>🟢 Alta Rotación (0-3M Nac)</t>
        </is>
      </c>
      <c r="M110" s="55" t="n">
        <v>0.732601566</v>
      </c>
      <c r="N110" s="55" t="n">
        <v>0</v>
      </c>
      <c r="O110" s="55" t="n">
        <v>0</v>
      </c>
      <c r="P110" s="27" t="inlineStr">
        <is>
          <t>Rotación Normal en Campaña Q4</t>
        </is>
      </c>
    </row>
    <row r="111" ht="20" customHeight="1">
      <c r="A111" s="51" t="inlineStr">
        <is>
          <t>PT0020</t>
        </is>
      </c>
      <c r="B111" s="20" t="inlineStr">
        <is>
          <t>AGROPOTASION, 20 L</t>
        </is>
      </c>
      <c r="C111" s="20" t="inlineStr">
        <is>
          <t>Garrafas 20L</t>
        </is>
      </c>
      <c r="D111" s="23" t="n">
        <v>10648</v>
      </c>
      <c r="E111" s="22" t="n">
        <v>212960</v>
      </c>
      <c r="F111" s="22" t="n">
        <v>15660</v>
      </c>
      <c r="G111" s="22" t="n">
        <v>20520</v>
      </c>
      <c r="H111" s="23" t="n">
        <v>36180</v>
      </c>
      <c r="I111" s="23" t="n">
        <v>0</v>
      </c>
      <c r="J111" s="23" t="n">
        <v>0</v>
      </c>
      <c r="K111" s="22" t="n">
        <v>0</v>
      </c>
      <c r="L111" s="36" t="inlineStr">
        <is>
          <t>🟢 Alta Rotación (0-3M Nac)</t>
        </is>
      </c>
      <c r="M111" s="52" t="n">
        <v>0.937725858</v>
      </c>
      <c r="N111" s="52" t="n">
        <v>0</v>
      </c>
      <c r="O111" s="52" t="n">
        <v>0</v>
      </c>
      <c r="P111" s="20" t="inlineStr">
        <is>
          <t>Rotación Normal en Campaña Q4</t>
        </is>
      </c>
    </row>
    <row r="112" ht="20" customHeight="1">
      <c r="A112" s="54" t="inlineStr">
        <is>
          <t>AGXK0020</t>
        </is>
      </c>
      <c r="B112" s="27" t="inlineStr">
        <is>
          <t>AGROXILATO-K, 20 L</t>
        </is>
      </c>
      <c r="C112" s="27" t="inlineStr">
        <is>
          <t>Garrafas 20L</t>
        </is>
      </c>
      <c r="D112" s="32" t="n">
        <v>25480</v>
      </c>
      <c r="E112" s="31" t="n">
        <v>509600</v>
      </c>
      <c r="F112" s="31" t="n">
        <v>52600</v>
      </c>
      <c r="G112" s="31" t="n">
        <v>45800</v>
      </c>
      <c r="H112" s="32" t="n">
        <v>98400</v>
      </c>
      <c r="I112" s="32" t="n">
        <v>0</v>
      </c>
      <c r="J112" s="32" t="n">
        <v>0</v>
      </c>
      <c r="K112" s="31" t="n">
        <v>0</v>
      </c>
      <c r="L112" s="36" t="inlineStr">
        <is>
          <t>🟢 Alta Rotación (0-3M Nac)</t>
        </is>
      </c>
      <c r="M112" s="55" t="n">
        <v>0.903521506</v>
      </c>
      <c r="N112" s="55" t="n">
        <v>0</v>
      </c>
      <c r="O112" s="55" t="n">
        <v>0</v>
      </c>
      <c r="P112" s="27" t="inlineStr">
        <is>
          <t>Rotación Normal en Campaña Q4</t>
        </is>
      </c>
    </row>
    <row r="113" ht="20" customHeight="1">
      <c r="A113" s="51" t="inlineStr">
        <is>
          <t>AMIMG0020</t>
        </is>
      </c>
      <c r="B113" s="20" t="inlineStr">
        <is>
          <t>AMINOSOIL MG, 20 L</t>
        </is>
      </c>
      <c r="C113" s="20" t="inlineStr">
        <is>
          <t>Garrafas 20L</t>
        </is>
      </c>
      <c r="D113" s="23" t="n">
        <v>400</v>
      </c>
      <c r="E113" s="22" t="n">
        <v>8000</v>
      </c>
      <c r="F113" s="22" t="n">
        <v>940</v>
      </c>
      <c r="G113" s="22" t="n">
        <v>220</v>
      </c>
      <c r="H113" s="23" t="n">
        <v>1160</v>
      </c>
      <c r="I113" s="23" t="n">
        <v>0</v>
      </c>
      <c r="J113" s="23" t="n">
        <v>0</v>
      </c>
      <c r="K113" s="22" t="n">
        <v>0</v>
      </c>
      <c r="L113" s="36" t="inlineStr">
        <is>
          <t>🟢 Alta Rotación (0-3M Nac)</t>
        </is>
      </c>
      <c r="M113" s="52" t="n">
        <v>0.72122703</v>
      </c>
      <c r="N113" s="52" t="n">
        <v>0</v>
      </c>
      <c r="O113" s="52" t="n">
        <v>0</v>
      </c>
      <c r="P113" s="20" t="inlineStr">
        <is>
          <t>Rotación Normal en Campaña Q4</t>
        </is>
      </c>
    </row>
    <row r="114" ht="20" customHeight="1">
      <c r="A114" s="54" t="inlineStr">
        <is>
          <t>C-CU0020</t>
        </is>
      </c>
      <c r="B114" s="27" t="inlineStr">
        <is>
          <t>CODICOBRE, 20 L</t>
        </is>
      </c>
      <c r="C114" s="27" t="inlineStr">
        <is>
          <t>Garrafas 20L</t>
        </is>
      </c>
      <c r="D114" s="32" t="n">
        <v>3620</v>
      </c>
      <c r="E114" s="31" t="n">
        <v>72400</v>
      </c>
      <c r="F114" s="31" t="n">
        <v>3800</v>
      </c>
      <c r="G114" s="31" t="n">
        <v>3380</v>
      </c>
      <c r="H114" s="32" t="n">
        <v>7180</v>
      </c>
      <c r="I114" s="32" t="n">
        <v>0</v>
      </c>
      <c r="J114" s="32" t="n">
        <v>0</v>
      </c>
      <c r="K114" s="31" t="n">
        <v>0</v>
      </c>
      <c r="L114" s="36" t="inlineStr">
        <is>
          <t>🟢 Alta Rotación (0-3M Nac)</t>
        </is>
      </c>
      <c r="M114" s="55" t="n">
        <v>1.841516796</v>
      </c>
      <c r="N114" s="55" t="n">
        <v>0</v>
      </c>
      <c r="O114" s="55" t="n">
        <v>0</v>
      </c>
      <c r="P114" s="27" t="inlineStr">
        <is>
          <t>Rotación Normal en Campaña Q4</t>
        </is>
      </c>
    </row>
    <row r="115" ht="20" customHeight="1">
      <c r="A115" s="51" t="inlineStr">
        <is>
          <t>S0020</t>
        </is>
      </c>
      <c r="B115" s="20" t="inlineStr">
        <is>
          <t>SALWAX STAR, 20 L</t>
        </is>
      </c>
      <c r="C115" s="20" t="inlineStr">
        <is>
          <t>Garrafas 20L</t>
        </is>
      </c>
      <c r="D115" s="23" t="n">
        <v>3800</v>
      </c>
      <c r="E115" s="22" t="n">
        <v>76000</v>
      </c>
      <c r="F115" s="22" t="n">
        <v>6400</v>
      </c>
      <c r="G115" s="22" t="n">
        <v>19600</v>
      </c>
      <c r="H115" s="23" t="n">
        <v>26000</v>
      </c>
      <c r="I115" s="23" t="n">
        <v>0</v>
      </c>
      <c r="J115" s="23" t="n">
        <v>0</v>
      </c>
      <c r="K115" s="22" t="n">
        <v>0</v>
      </c>
      <c r="L115" s="36" t="inlineStr">
        <is>
          <t>🟢 Alta Rotación (0-3M Nac)</t>
        </is>
      </c>
      <c r="M115" s="52" t="n">
        <v>0.578397589</v>
      </c>
      <c r="N115" s="52" t="n">
        <v>0</v>
      </c>
      <c r="O115" s="52" t="n">
        <v>0</v>
      </c>
      <c r="P115" s="20" t="inlineStr">
        <is>
          <t>Rotación Normal en Campaña Q4</t>
        </is>
      </c>
    </row>
    <row r="116" ht="20" customHeight="1">
      <c r="A116" s="54" t="inlineStr">
        <is>
          <t>S1000</t>
        </is>
      </c>
      <c r="B116" s="27" t="inlineStr">
        <is>
          <t>SAL-WAX STAR, 1000 L</t>
        </is>
      </c>
      <c r="C116" s="27" t="inlineStr">
        <is>
          <t>Depósito 1000 L</t>
        </is>
      </c>
      <c r="D116" s="32" t="n">
        <v>6000</v>
      </c>
      <c r="E116" s="31" t="n">
        <v>6000000</v>
      </c>
      <c r="F116" s="31" t="n">
        <v>39000</v>
      </c>
      <c r="G116" s="31" t="n">
        <v>61000</v>
      </c>
      <c r="H116" s="32" t="n">
        <v>100000</v>
      </c>
      <c r="I116" s="32" t="n">
        <v>0</v>
      </c>
      <c r="J116" s="32" t="n">
        <v>0</v>
      </c>
      <c r="K116" s="31" t="n">
        <v>0</v>
      </c>
      <c r="L116" s="36" t="inlineStr">
        <is>
          <t>🟢 Alta Rotación (0-3M Nac)</t>
        </is>
      </c>
      <c r="M116" s="55" t="n">
        <v>0.513511126</v>
      </c>
      <c r="N116" s="55" t="n">
        <v>0</v>
      </c>
      <c r="O116" s="55" t="n">
        <v>0</v>
      </c>
      <c r="P116" s="27" t="inlineStr">
        <is>
          <t>Rotación Normal en Campaña Q4</t>
        </is>
      </c>
    </row>
    <row r="117" ht="20" customHeight="1">
      <c r="A117" s="51" t="inlineStr">
        <is>
          <t>AGXK0005</t>
        </is>
      </c>
      <c r="B117" s="20" t="inlineStr">
        <is>
          <t>AGROXILATO-K, 5 L</t>
        </is>
      </c>
      <c r="C117" s="20" t="inlineStr">
        <is>
          <t>Garrafas 5L</t>
        </is>
      </c>
      <c r="D117" s="23" t="n">
        <v>820</v>
      </c>
      <c r="E117" s="22" t="n">
        <v>4100</v>
      </c>
      <c r="F117" s="22" t="n">
        <v>2200</v>
      </c>
      <c r="G117" s="22" t="n">
        <v>830</v>
      </c>
      <c r="H117" s="23" t="n">
        <v>3030</v>
      </c>
      <c r="I117" s="23" t="n">
        <v>0</v>
      </c>
      <c r="J117" s="23" t="n">
        <v>0</v>
      </c>
      <c r="K117" s="22" t="n">
        <v>0</v>
      </c>
      <c r="L117" s="36" t="inlineStr">
        <is>
          <t>🟢 Alta Rotación (0-3M Nac)</t>
        </is>
      </c>
      <c r="M117" s="52" t="n">
        <v>1.037405651</v>
      </c>
      <c r="N117" s="52" t="n">
        <v>0</v>
      </c>
      <c r="O117" s="52" t="n">
        <v>0</v>
      </c>
      <c r="P117" s="20" t="inlineStr">
        <is>
          <t>Rotación Normal en Campaña Q4</t>
        </is>
      </c>
    </row>
    <row r="118" ht="20" customHeight="1">
      <c r="A118" s="54" t="inlineStr">
        <is>
          <t>C-CUAE0005</t>
        </is>
      </c>
      <c r="B118" s="27" t="inlineStr">
        <is>
          <t>CUPRAMEC, 5 L</t>
        </is>
      </c>
      <c r="C118" s="27" t="inlineStr">
        <is>
          <t>Garrafas 5L</t>
        </is>
      </c>
      <c r="D118" s="32" t="n">
        <v>1340</v>
      </c>
      <c r="E118" s="31" t="n">
        <v>6700</v>
      </c>
      <c r="F118" s="31" t="n">
        <v>1500</v>
      </c>
      <c r="G118" s="31" t="n">
        <v>3295</v>
      </c>
      <c r="H118" s="32" t="n">
        <v>4795</v>
      </c>
      <c r="I118" s="32" t="n">
        <v>0</v>
      </c>
      <c r="J118" s="32" t="n">
        <v>0</v>
      </c>
      <c r="K118" s="31" t="n">
        <v>0</v>
      </c>
      <c r="L118" s="36" t="inlineStr">
        <is>
          <t>🟢 Alta Rotación (0-3M Nac)</t>
        </is>
      </c>
      <c r="M118" s="55" t="n">
        <v>2.104980496</v>
      </c>
      <c r="N118" s="55" t="n">
        <v>0</v>
      </c>
      <c r="O118" s="55" t="n">
        <v>0</v>
      </c>
      <c r="P118" s="27" t="inlineStr">
        <is>
          <t>Rotación Normal en Campaña Q4</t>
        </is>
      </c>
    </row>
    <row r="119" ht="20" customHeight="1">
      <c r="A119" s="51" t="inlineStr">
        <is>
          <t>FROST-P0020</t>
        </is>
      </c>
      <c r="B119" s="20" t="inlineStr">
        <is>
          <t>CODIFROST PLUS, 20 L</t>
        </is>
      </c>
      <c r="C119" s="20" t="inlineStr">
        <is>
          <t>Garrafas 20L</t>
        </is>
      </c>
      <c r="D119" s="23" t="n">
        <v>280</v>
      </c>
      <c r="E119" s="22" t="n">
        <v>5600</v>
      </c>
      <c r="F119" s="22" t="n">
        <v>1780</v>
      </c>
      <c r="G119" s="22" t="n">
        <v>460</v>
      </c>
      <c r="H119" s="23" t="n">
        <v>2240</v>
      </c>
      <c r="I119" s="23" t="n">
        <v>0</v>
      </c>
      <c r="J119" s="23" t="n">
        <v>0</v>
      </c>
      <c r="K119" s="22" t="n">
        <v>0</v>
      </c>
      <c r="L119" s="36" t="inlineStr">
        <is>
          <t>🟢 Alta Rotación (0-3M Nac)</t>
        </is>
      </c>
      <c r="M119" s="52" t="n">
        <v>2.230385922</v>
      </c>
      <c r="N119" s="52" t="n">
        <v>0</v>
      </c>
      <c r="O119" s="52" t="n">
        <v>0</v>
      </c>
      <c r="P119" s="20" t="inlineStr">
        <is>
          <t>Rotación Normal en Campaña Q4</t>
        </is>
      </c>
    </row>
    <row r="120" ht="20" customHeight="1">
      <c r="A120" s="54" t="inlineStr">
        <is>
          <t>HST0020</t>
        </is>
      </c>
      <c r="B120" s="27" t="inlineStr">
        <is>
          <t>HIDROSTRESS-40, 20 L</t>
        </is>
      </c>
      <c r="C120" s="27" t="inlineStr">
        <is>
          <t>Garrafas 20L</t>
        </is>
      </c>
      <c r="D120" s="32" t="n">
        <v>400</v>
      </c>
      <c r="E120" s="31" t="n">
        <v>8000</v>
      </c>
      <c r="F120" s="31" t="n">
        <v>2560</v>
      </c>
      <c r="G120" s="31" t="n">
        <v>2880</v>
      </c>
      <c r="H120" s="32" t="n">
        <v>5440</v>
      </c>
      <c r="I120" s="32" t="n">
        <v>0</v>
      </c>
      <c r="J120" s="32" t="n">
        <v>0</v>
      </c>
      <c r="K120" s="31" t="n">
        <v>0</v>
      </c>
      <c r="L120" s="36" t="inlineStr">
        <is>
          <t>🟢 Alta Rotación (0-3M Nac)</t>
        </is>
      </c>
      <c r="M120" s="55" t="n">
        <v>2.767847302</v>
      </c>
      <c r="N120" s="55" t="n">
        <v>0</v>
      </c>
      <c r="O120" s="55" t="n">
        <v>0</v>
      </c>
      <c r="P120" s="27" t="inlineStr">
        <is>
          <t>Rotación Normal en Campaña Q4</t>
        </is>
      </c>
    </row>
    <row r="121" ht="20" customHeight="1">
      <c r="A121" s="51" t="inlineStr">
        <is>
          <t>AVAN0020</t>
        </is>
      </c>
      <c r="B121" s="20" t="inlineStr">
        <is>
          <t>FLORAMEC AVANCE, 20 L</t>
        </is>
      </c>
      <c r="C121" s="20" t="inlineStr">
        <is>
          <t>Garrafas 20L</t>
        </is>
      </c>
      <c r="D121" s="23" t="n">
        <v>360</v>
      </c>
      <c r="E121" s="22" t="n">
        <v>7200</v>
      </c>
      <c r="F121" s="22" t="n">
        <v>6120</v>
      </c>
      <c r="G121" s="22" t="n">
        <v>9900</v>
      </c>
      <c r="H121" s="23" t="n">
        <v>16020</v>
      </c>
      <c r="I121" s="23" t="n">
        <v>0</v>
      </c>
      <c r="J121" s="23" t="n">
        <v>0</v>
      </c>
      <c r="K121" s="22" t="n">
        <v>0</v>
      </c>
      <c r="L121" s="36" t="inlineStr">
        <is>
          <t>🟢 Alta Rotación (0-3M Nac)</t>
        </is>
      </c>
      <c r="M121" s="52" t="n">
        <v>2.202540124</v>
      </c>
      <c r="N121" s="52" t="n">
        <v>0</v>
      </c>
      <c r="O121" s="52" t="n">
        <v>0</v>
      </c>
      <c r="P121" s="20" t="inlineStr">
        <is>
          <t>Rotación Normal en Campaña Q4</t>
        </is>
      </c>
    </row>
    <row r="122" ht="20" customHeight="1">
      <c r="A122" s="54" t="inlineStr">
        <is>
          <t>BROTA0005</t>
        </is>
      </c>
      <c r="B122" s="27" t="inlineStr">
        <is>
          <t>BROTAMEC, 5 L</t>
        </is>
      </c>
      <c r="C122" s="27" t="inlineStr">
        <is>
          <t>Garrafas 5L</t>
        </is>
      </c>
      <c r="D122" s="32" t="n">
        <v>2300</v>
      </c>
      <c r="E122" s="31" t="n">
        <v>11500</v>
      </c>
      <c r="F122" s="31" t="n">
        <v>2300</v>
      </c>
      <c r="G122" s="31" t="n">
        <v>4000</v>
      </c>
      <c r="H122" s="32" t="n">
        <v>6300</v>
      </c>
      <c r="I122" s="32" t="n">
        <v>0</v>
      </c>
      <c r="J122" s="32" t="n">
        <v>0</v>
      </c>
      <c r="K122" s="31" t="n">
        <v>0</v>
      </c>
      <c r="L122" s="36" t="inlineStr">
        <is>
          <t>🟢 Alta Rotación (0-3M Nac)</t>
        </is>
      </c>
      <c r="M122" s="55" t="n">
        <v>1.275723763</v>
      </c>
      <c r="N122" s="55" t="n">
        <v>0</v>
      </c>
      <c r="O122" s="55" t="n">
        <v>0</v>
      </c>
      <c r="P122" s="27" t="inlineStr">
        <is>
          <t>Rotación Normal en Campaña Q4</t>
        </is>
      </c>
    </row>
    <row r="123" ht="20" customHeight="1">
      <c r="A123" s="51" t="inlineStr">
        <is>
          <t>TRI0005</t>
        </is>
      </c>
      <c r="B123" s="20" t="inlineStr">
        <is>
          <t>TRIFENO-94, 5L</t>
        </is>
      </c>
      <c r="C123" s="20" t="inlineStr">
        <is>
          <t>Garrafas 5L</t>
        </is>
      </c>
      <c r="D123" s="23" t="n">
        <v>900</v>
      </c>
      <c r="E123" s="22" t="n">
        <v>4500</v>
      </c>
      <c r="F123" s="22" t="n">
        <v>1320</v>
      </c>
      <c r="G123" s="22" t="n">
        <v>2425</v>
      </c>
      <c r="H123" s="23" t="n">
        <v>3745</v>
      </c>
      <c r="I123" s="23" t="n">
        <v>0</v>
      </c>
      <c r="J123" s="23" t="n">
        <v>0</v>
      </c>
      <c r="K123" s="22" t="n">
        <v>0</v>
      </c>
      <c r="L123" s="36" t="inlineStr">
        <is>
          <t>🟢 Alta Rotación (0-3M Nac)</t>
        </is>
      </c>
      <c r="M123" s="52" t="n">
        <v>1.708866566</v>
      </c>
      <c r="N123" s="52" t="n">
        <v>0</v>
      </c>
      <c r="O123" s="52" t="n">
        <v>0</v>
      </c>
      <c r="P123" s="20" t="inlineStr">
        <is>
          <t>Rotación Normal en Campaña Q4</t>
        </is>
      </c>
    </row>
    <row r="124" ht="20" customHeight="1">
      <c r="A124" s="54" t="inlineStr">
        <is>
          <t>FTK0005</t>
        </is>
      </c>
      <c r="B124" s="27" t="inlineStr">
        <is>
          <t>FITOKONTROL CA FLOW, 5 KG</t>
        </is>
      </c>
      <c r="C124" s="27" t="inlineStr">
        <is>
          <t>Garrafas 5L</t>
        </is>
      </c>
      <c r="D124" s="32" t="n">
        <v>440</v>
      </c>
      <c r="E124" s="31" t="n">
        <v>2200</v>
      </c>
      <c r="F124" s="31" t="n">
        <v>2100</v>
      </c>
      <c r="G124" s="31" t="n">
        <v>3765</v>
      </c>
      <c r="H124" s="32" t="n">
        <v>5865</v>
      </c>
      <c r="I124" s="32" t="n">
        <v>0</v>
      </c>
      <c r="J124" s="32" t="n">
        <v>0</v>
      </c>
      <c r="K124" s="31" t="n">
        <v>0</v>
      </c>
      <c r="L124" s="36" t="inlineStr">
        <is>
          <t>🟢 Alta Rotación (0-3M Nac)</t>
        </is>
      </c>
      <c r="M124" s="55" t="n">
        <v>0</v>
      </c>
      <c r="N124" s="55" t="n">
        <v>0</v>
      </c>
      <c r="O124" s="55" t="n">
        <v>0</v>
      </c>
      <c r="P124" s="27" t="inlineStr">
        <is>
          <t>Rotación Normal en Campaña Q4</t>
        </is>
      </c>
    </row>
    <row r="125" ht="20" customHeight="1">
      <c r="A125" s="51" t="inlineStr">
        <is>
          <t>AVAN0005</t>
        </is>
      </c>
      <c r="B125" s="20" t="inlineStr">
        <is>
          <t>FLORAMEC AVANCE, 5 L</t>
        </is>
      </c>
      <c r="C125" s="20" t="inlineStr">
        <is>
          <t>Garrafas 5L</t>
        </is>
      </c>
      <c r="D125" s="23" t="n">
        <v>3320</v>
      </c>
      <c r="E125" s="22" t="n">
        <v>16600</v>
      </c>
      <c r="F125" s="22" t="n">
        <v>4100</v>
      </c>
      <c r="G125" s="22" t="n">
        <v>5040</v>
      </c>
      <c r="H125" s="23" t="n">
        <v>9140</v>
      </c>
      <c r="I125" s="23" t="n">
        <v>0</v>
      </c>
      <c r="J125" s="23" t="n">
        <v>0</v>
      </c>
      <c r="K125" s="22" t="n">
        <v>0</v>
      </c>
      <c r="L125" s="36" t="inlineStr">
        <is>
          <t>🟢 Alta Rotación (0-3M Nac)</t>
        </is>
      </c>
      <c r="M125" s="52" t="n">
        <v>2.370023959</v>
      </c>
      <c r="N125" s="52" t="n">
        <v>0</v>
      </c>
      <c r="O125" s="52" t="n">
        <v>0</v>
      </c>
      <c r="P125" s="20" t="inlineStr">
        <is>
          <t>Rotación Normal en Campaña Q4</t>
        </is>
      </c>
    </row>
    <row r="126" ht="20" customHeight="1">
      <c r="A126" s="54" t="inlineStr">
        <is>
          <t>BIO0005</t>
        </is>
      </c>
      <c r="B126" s="27" t="inlineStr">
        <is>
          <t>BIORAD-20, 5L</t>
        </is>
      </c>
      <c r="C126" s="27" t="inlineStr">
        <is>
          <t>Garrafas 5L</t>
        </is>
      </c>
      <c r="D126" s="32" t="n">
        <v>1540</v>
      </c>
      <c r="E126" s="31" t="n">
        <v>7700</v>
      </c>
      <c r="F126" s="31" t="n">
        <v>2440</v>
      </c>
      <c r="G126" s="31" t="n">
        <v>945</v>
      </c>
      <c r="H126" s="32" t="n">
        <v>3385</v>
      </c>
      <c r="I126" s="32" t="n">
        <v>0</v>
      </c>
      <c r="J126" s="32" t="n">
        <v>0</v>
      </c>
      <c r="K126" s="31" t="n">
        <v>0</v>
      </c>
      <c r="L126" s="36" t="inlineStr">
        <is>
          <t>🟢 Alta Rotación (0-3M Nac)</t>
        </is>
      </c>
      <c r="M126" s="55" t="n">
        <v>0.721216037</v>
      </c>
      <c r="N126" s="55" t="n">
        <v>0</v>
      </c>
      <c r="O126" s="55" t="n">
        <v>0</v>
      </c>
      <c r="P126" s="27" t="inlineStr">
        <is>
          <t>Rotación Normal en Campaña Q4</t>
        </is>
      </c>
    </row>
    <row r="127" ht="20" customHeight="1">
      <c r="A127" s="51" t="inlineStr">
        <is>
          <t>HST0005</t>
        </is>
      </c>
      <c r="B127" s="20" t="inlineStr">
        <is>
          <t>HIDROSTRESS-40, 5 L</t>
        </is>
      </c>
      <c r="C127" s="20" t="inlineStr">
        <is>
          <t>Garrafas 5L</t>
        </is>
      </c>
      <c r="D127" s="23" t="n">
        <v>180</v>
      </c>
      <c r="E127" s="22" t="n">
        <v>900</v>
      </c>
      <c r="F127" s="22" t="n">
        <v>220</v>
      </c>
      <c r="G127" s="22" t="n">
        <v>675</v>
      </c>
      <c r="H127" s="23" t="n">
        <v>895</v>
      </c>
      <c r="I127" s="23" t="n">
        <v>0</v>
      </c>
      <c r="J127" s="23" t="n">
        <v>0</v>
      </c>
      <c r="K127" s="22" t="n">
        <v>0</v>
      </c>
      <c r="L127" s="36" t="inlineStr">
        <is>
          <t>🟢 Alta Rotación (0-3M Nac)</t>
        </is>
      </c>
      <c r="M127" s="52" t="n">
        <v>2.978697502</v>
      </c>
      <c r="N127" s="52" t="n">
        <v>0</v>
      </c>
      <c r="O127" s="52" t="n">
        <v>0</v>
      </c>
      <c r="P127" s="20" t="inlineStr">
        <is>
          <t>Rotación Normal en Campaña Q4</t>
        </is>
      </c>
    </row>
    <row r="128" ht="20" customHeight="1">
      <c r="A128" s="54" t="inlineStr">
        <is>
          <t>PHD0005</t>
        </is>
      </c>
      <c r="B128" s="27" t="inlineStr">
        <is>
          <t>PH-DOWNER, 5 L</t>
        </is>
      </c>
      <c r="C128" s="27" t="inlineStr">
        <is>
          <t>Garrafas 5L</t>
        </is>
      </c>
      <c r="D128" s="32" t="n">
        <v>20</v>
      </c>
      <c r="E128" s="31" t="n">
        <v>100</v>
      </c>
      <c r="F128" s="31" t="n">
        <v>100</v>
      </c>
      <c r="G128" s="31" t="n">
        <v>630</v>
      </c>
      <c r="H128" s="32" t="n">
        <v>730</v>
      </c>
      <c r="I128" s="32" t="n">
        <v>0</v>
      </c>
      <c r="J128" s="32" t="n">
        <v>0</v>
      </c>
      <c r="K128" s="31" t="n">
        <v>0</v>
      </c>
      <c r="L128" s="36" t="inlineStr">
        <is>
          <t>🟢 Alta Rotación (0-3M Nac)</t>
        </is>
      </c>
      <c r="M128" s="55" t="n">
        <v>1.706891703</v>
      </c>
      <c r="N128" s="55" t="n">
        <v>0</v>
      </c>
      <c r="O128" s="55" t="n">
        <v>0</v>
      </c>
      <c r="P128" s="27" t="inlineStr">
        <is>
          <t>Rotación Normal en Campaña Q4</t>
        </is>
      </c>
    </row>
    <row r="129" ht="20" customHeight="1">
      <c r="A129" s="51" t="inlineStr">
        <is>
          <t>G30020</t>
        </is>
      </c>
      <c r="B129" s="20" t="inlineStr">
        <is>
          <t>GREEN-UP, 20 L</t>
        </is>
      </c>
      <c r="C129" s="20" t="inlineStr">
        <is>
          <t>Garrafas 20L</t>
        </is>
      </c>
      <c r="D129" s="23" t="n">
        <v>1720</v>
      </c>
      <c r="E129" s="22" t="n">
        <v>34400</v>
      </c>
      <c r="F129" s="22" t="n">
        <v>2560</v>
      </c>
      <c r="G129" s="22" t="n">
        <v>3080</v>
      </c>
      <c r="H129" s="23" t="n">
        <v>5640</v>
      </c>
      <c r="I129" s="23" t="n">
        <v>0</v>
      </c>
      <c r="J129" s="23" t="n">
        <v>0</v>
      </c>
      <c r="K129" s="22" t="n">
        <v>0</v>
      </c>
      <c r="L129" s="36" t="inlineStr">
        <is>
          <t>🟢 Alta Rotación (0-3M Nac)</t>
        </is>
      </c>
      <c r="M129" s="52" t="n">
        <v>1.791066572</v>
      </c>
      <c r="N129" s="52" t="n">
        <v>0</v>
      </c>
      <c r="O129" s="52" t="n">
        <v>0</v>
      </c>
      <c r="P129" s="20" t="inlineStr">
        <is>
          <t>Rotación Normal en Campaña Q4</t>
        </is>
      </c>
    </row>
    <row r="130" ht="20" customHeight="1">
      <c r="A130" s="54" t="inlineStr">
        <is>
          <t>B0001</t>
        </is>
      </c>
      <c r="B130" s="27" t="inlineStr">
        <is>
          <t>BOROCAL,1 L</t>
        </is>
      </c>
      <c r="C130" s="27" t="inlineStr">
        <is>
          <t>Botellas 1L</t>
        </is>
      </c>
      <c r="D130" s="32" t="n">
        <v>48</v>
      </c>
      <c r="E130" s="31" t="n">
        <v>48</v>
      </c>
      <c r="F130" s="31" t="n">
        <v>60</v>
      </c>
      <c r="G130" s="31" t="n">
        <v>202</v>
      </c>
      <c r="H130" s="32" t="n">
        <v>262</v>
      </c>
      <c r="I130" s="32" t="n">
        <v>0</v>
      </c>
      <c r="J130" s="32" t="n">
        <v>0</v>
      </c>
      <c r="K130" s="31" t="n">
        <v>0</v>
      </c>
      <c r="L130" s="36" t="inlineStr">
        <is>
          <t>🟢 Alta Rotación (0-3M Nac)</t>
        </is>
      </c>
      <c r="M130" s="55" t="n">
        <v>1.438211605</v>
      </c>
      <c r="N130" s="55" t="n">
        <v>0</v>
      </c>
      <c r="O130" s="55" t="n">
        <v>0</v>
      </c>
      <c r="P130" s="27" t="inlineStr">
        <is>
          <t>Rotación Normal en Campaña Q4</t>
        </is>
      </c>
    </row>
    <row r="131" ht="20" customHeight="1">
      <c r="A131" s="51" t="inlineStr">
        <is>
          <t>BIO1000</t>
        </is>
      </c>
      <c r="B131" s="20" t="inlineStr">
        <is>
          <t>BIORAD-20, 1000 L</t>
        </is>
      </c>
      <c r="C131" s="20" t="inlineStr">
        <is>
          <t>Depósito 1000 L</t>
        </is>
      </c>
      <c r="D131" s="23" t="n">
        <v>3000</v>
      </c>
      <c r="E131" s="22" t="n">
        <v>3000000</v>
      </c>
      <c r="F131" s="22" t="n">
        <v>9000</v>
      </c>
      <c r="G131" s="22" t="n">
        <v>0</v>
      </c>
      <c r="H131" s="23" t="n">
        <v>9000</v>
      </c>
      <c r="I131" s="23" t="n">
        <v>0</v>
      </c>
      <c r="J131" s="23" t="n">
        <v>0</v>
      </c>
      <c r="K131" s="22" t="n">
        <v>0</v>
      </c>
      <c r="L131" s="36" t="inlineStr">
        <is>
          <t>🟢 Alta Rotación (0-3M Nac)</t>
        </is>
      </c>
      <c r="M131" s="52" t="n">
        <v>0.830397283</v>
      </c>
      <c r="N131" s="52" t="n">
        <v>0</v>
      </c>
      <c r="O131" s="52" t="n">
        <v>0</v>
      </c>
      <c r="P131" s="20" t="inlineStr">
        <is>
          <t>Rotación Normal en Campaña Q4</t>
        </is>
      </c>
    </row>
    <row r="132" ht="20" customHeight="1">
      <c r="A132" s="54" t="inlineStr">
        <is>
          <t>CPLUS0020</t>
        </is>
      </c>
      <c r="B132" s="27" t="inlineStr">
        <is>
          <t>CALCIPLUS, 20 L</t>
        </is>
      </c>
      <c r="C132" s="27" t="inlineStr">
        <is>
          <t>Garrafas 20L</t>
        </is>
      </c>
      <c r="D132" s="32" t="n">
        <v>5000</v>
      </c>
      <c r="E132" s="31" t="n">
        <v>100000</v>
      </c>
      <c r="F132" s="31" t="n">
        <v>11280</v>
      </c>
      <c r="G132" s="31" t="n">
        <v>10500</v>
      </c>
      <c r="H132" s="32" t="n">
        <v>21780</v>
      </c>
      <c r="I132" s="32" t="n">
        <v>0</v>
      </c>
      <c r="J132" s="32" t="n">
        <v>0</v>
      </c>
      <c r="K132" s="31" t="n">
        <v>0</v>
      </c>
      <c r="L132" s="36" t="inlineStr">
        <is>
          <t>🟢 Alta Rotación (0-3M Nac)</t>
        </is>
      </c>
      <c r="M132" s="55" t="n">
        <v>0.776598329</v>
      </c>
      <c r="N132" s="55" t="n">
        <v>0</v>
      </c>
      <c r="O132" s="55" t="n">
        <v>0</v>
      </c>
      <c r="P132" s="27" t="inlineStr">
        <is>
          <t>Rotación Normal en Campaña Q4</t>
        </is>
      </c>
    </row>
    <row r="133" ht="20" customHeight="1">
      <c r="A133" s="51" t="inlineStr">
        <is>
          <t>P-5X0005</t>
        </is>
      </c>
      <c r="B133" s="20" t="inlineStr">
        <is>
          <t>P.M.S. 5x, 5 L</t>
        </is>
      </c>
      <c r="C133" s="20" t="inlineStr">
        <is>
          <t>Garrafas 5L</t>
        </is>
      </c>
      <c r="D133" s="23" t="n">
        <v>100</v>
      </c>
      <c r="E133" s="22" t="n">
        <v>500</v>
      </c>
      <c r="F133" s="22" t="n">
        <v>100</v>
      </c>
      <c r="G133" s="22" t="n">
        <v>700</v>
      </c>
      <c r="H133" s="23" t="n">
        <v>800</v>
      </c>
      <c r="I133" s="23" t="n">
        <v>0</v>
      </c>
      <c r="J133" s="23" t="n">
        <v>0</v>
      </c>
      <c r="K133" s="22" t="n">
        <v>0</v>
      </c>
      <c r="L133" s="36" t="inlineStr">
        <is>
          <t>🟢 Alta Rotación (0-3M Nac)</t>
        </is>
      </c>
      <c r="M133" s="52" t="n">
        <v>1.031823456</v>
      </c>
      <c r="N133" s="52" t="n">
        <v>0</v>
      </c>
      <c r="O133" s="52" t="n">
        <v>0</v>
      </c>
      <c r="P133" s="20" t="inlineStr">
        <is>
          <t>Rotación Normal en Campaña Q4</t>
        </is>
      </c>
    </row>
    <row r="134" ht="20" customHeight="1">
      <c r="A134" s="54" t="inlineStr">
        <is>
          <t>AGXKAE0020</t>
        </is>
      </c>
      <c r="B134" s="27" t="inlineStr">
        <is>
          <t>BIOCULTURE POTASIO, 20 L</t>
        </is>
      </c>
      <c r="C134" s="27" t="inlineStr">
        <is>
          <t>Garrafas 20L</t>
        </is>
      </c>
      <c r="D134" s="32" t="n">
        <v>640</v>
      </c>
      <c r="E134" s="31" t="n">
        <v>12800</v>
      </c>
      <c r="F134" s="31" t="n">
        <v>640</v>
      </c>
      <c r="G134" s="31" t="n">
        <v>680</v>
      </c>
      <c r="H134" s="32" t="n">
        <v>1320</v>
      </c>
      <c r="I134" s="32" t="n">
        <v>0</v>
      </c>
      <c r="J134" s="32" t="n">
        <v>0</v>
      </c>
      <c r="K134" s="31" t="n">
        <v>0</v>
      </c>
      <c r="L134" s="36" t="inlineStr">
        <is>
          <t>🟢 Alta Rotación (0-3M Nac)</t>
        </is>
      </c>
      <c r="M134" s="55" t="n">
        <v>1.013686477</v>
      </c>
      <c r="N134" s="55" t="n">
        <v>0</v>
      </c>
      <c r="O134" s="55" t="n">
        <v>0</v>
      </c>
      <c r="P134" s="27" t="inlineStr">
        <is>
          <t>Rotación Normal en Campaña Q4</t>
        </is>
      </c>
    </row>
    <row r="135" ht="20" customHeight="1">
      <c r="A135" s="51" t="inlineStr">
        <is>
          <t>PREZN0005</t>
        </is>
      </c>
      <c r="B135" s="20" t="inlineStr">
        <is>
          <t>PREZINC, 5 kg</t>
        </is>
      </c>
      <c r="C135" s="20" t="inlineStr">
        <is>
          <t>Garrafas 5L</t>
        </is>
      </c>
      <c r="D135" s="23" t="n">
        <v>160</v>
      </c>
      <c r="E135" s="22" t="n">
        <v>800</v>
      </c>
      <c r="F135" s="22" t="n">
        <v>3000</v>
      </c>
      <c r="G135" s="22" t="n">
        <v>3240</v>
      </c>
      <c r="H135" s="23" t="n">
        <v>6240</v>
      </c>
      <c r="I135" s="23" t="n">
        <v>0</v>
      </c>
      <c r="J135" s="23" t="n">
        <v>0</v>
      </c>
      <c r="K135" s="22" t="n">
        <v>0</v>
      </c>
      <c r="L135" s="36" t="inlineStr">
        <is>
          <t>🟢 Alta Rotación (0-3M Nac)</t>
        </is>
      </c>
      <c r="M135" s="52" t="n">
        <v>1.181316594</v>
      </c>
      <c r="N135" s="52" t="n">
        <v>0</v>
      </c>
      <c r="O135" s="52" t="n">
        <v>0</v>
      </c>
      <c r="P135" s="20" t="inlineStr">
        <is>
          <t>Rotación Normal en Campaña Q4</t>
        </is>
      </c>
    </row>
    <row r="136" ht="20" customHeight="1">
      <c r="A136" s="54" t="inlineStr">
        <is>
          <t>C-MB0005</t>
        </is>
      </c>
      <c r="B136" s="27" t="inlineStr">
        <is>
          <t>CODIFOL-MB</t>
        </is>
      </c>
      <c r="C136" s="27" t="inlineStr">
        <is>
          <t>Garrafas 5L</t>
        </is>
      </c>
      <c r="D136" s="32" t="n">
        <v>1040</v>
      </c>
      <c r="E136" s="31" t="n">
        <v>5200</v>
      </c>
      <c r="F136" s="31" t="n">
        <v>1600</v>
      </c>
      <c r="G136" s="31" t="n">
        <v>2885</v>
      </c>
      <c r="H136" s="32" t="n">
        <v>4485</v>
      </c>
      <c r="I136" s="32" t="n">
        <v>0</v>
      </c>
      <c r="J136" s="32" t="n">
        <v>0</v>
      </c>
      <c r="K136" s="31" t="n">
        <v>0</v>
      </c>
      <c r="L136" s="36" t="inlineStr">
        <is>
          <t>🟢 Alta Rotación (0-3M Nac)</t>
        </is>
      </c>
      <c r="M136" s="55" t="n">
        <v>4.234440693</v>
      </c>
      <c r="N136" s="55" t="n">
        <v>0</v>
      </c>
      <c r="O136" s="55" t="n">
        <v>0</v>
      </c>
      <c r="P136" s="27" t="inlineStr">
        <is>
          <t>Rotación Normal en Campaña Q4</t>
        </is>
      </c>
    </row>
    <row r="137" ht="20" customHeight="1">
      <c r="A137" s="51" t="inlineStr">
        <is>
          <t>CPLUS1000</t>
        </is>
      </c>
      <c r="B137" s="20" t="inlineStr">
        <is>
          <t>CALCIPLUS, 1000 L</t>
        </is>
      </c>
      <c r="C137" s="20" t="inlineStr">
        <is>
          <t>Depósito 1000 L</t>
        </is>
      </c>
      <c r="D137" s="23" t="n">
        <v>1000</v>
      </c>
      <c r="E137" s="22" t="n">
        <v>1000000</v>
      </c>
      <c r="F137" s="22" t="n">
        <v>4000</v>
      </c>
      <c r="G137" s="22" t="n">
        <v>2000</v>
      </c>
      <c r="H137" s="23" t="n">
        <v>6000</v>
      </c>
      <c r="I137" s="23" t="n">
        <v>0</v>
      </c>
      <c r="J137" s="23" t="n">
        <v>0</v>
      </c>
      <c r="K137" s="22" t="n">
        <v>0</v>
      </c>
      <c r="L137" s="36" t="inlineStr">
        <is>
          <t>🟢 Alta Rotación (0-3M Nac)</t>
        </is>
      </c>
      <c r="M137" s="52" t="n">
        <v>0.7345970000000001</v>
      </c>
      <c r="N137" s="52" t="n">
        <v>0</v>
      </c>
      <c r="O137" s="52" t="n">
        <v>0</v>
      </c>
      <c r="P137" s="20" t="inlineStr">
        <is>
          <t>Rotación Normal en Campaña Q4</t>
        </is>
      </c>
    </row>
    <row r="138" ht="20" customHeight="1">
      <c r="A138" s="54" t="inlineStr">
        <is>
          <t>JF0020</t>
        </is>
      </c>
      <c r="B138" s="27" t="inlineStr">
        <is>
          <t>DRAGO-FOS, 20 L</t>
        </is>
      </c>
      <c r="C138" s="27" t="inlineStr">
        <is>
          <t>Garrafas 20L</t>
        </is>
      </c>
      <c r="D138" s="32" t="n">
        <v>1200</v>
      </c>
      <c r="E138" s="31" t="n">
        <v>24000</v>
      </c>
      <c r="F138" s="31" t="n">
        <v>2560</v>
      </c>
      <c r="G138" s="31" t="n">
        <v>4080</v>
      </c>
      <c r="H138" s="32" t="n">
        <v>6640</v>
      </c>
      <c r="I138" s="32" t="n">
        <v>0</v>
      </c>
      <c r="J138" s="32" t="n">
        <v>0</v>
      </c>
      <c r="K138" s="31" t="n">
        <v>0</v>
      </c>
      <c r="L138" s="36" t="inlineStr">
        <is>
          <t>🟢 Alta Rotación (0-3M Nac)</t>
        </is>
      </c>
      <c r="M138" s="55" t="n">
        <v>0.5633151199999999</v>
      </c>
      <c r="N138" s="55" t="n">
        <v>0</v>
      </c>
      <c r="O138" s="55" t="n">
        <v>0</v>
      </c>
      <c r="P138" s="27" t="inlineStr">
        <is>
          <t>Rotación Normal en Campaña Q4</t>
        </is>
      </c>
    </row>
    <row r="139" ht="20" customHeight="1">
      <c r="A139" s="51" t="inlineStr">
        <is>
          <t>AGXKC0020</t>
        </is>
      </c>
      <c r="B139" s="20" t="inlineStr">
        <is>
          <t>AGROXILATO-COMPLET, 20 L</t>
        </is>
      </c>
      <c r="C139" s="20" t="inlineStr">
        <is>
          <t>Garrafas 20L</t>
        </is>
      </c>
      <c r="D139" s="23" t="n">
        <v>1020</v>
      </c>
      <c r="E139" s="22" t="n">
        <v>20400</v>
      </c>
      <c r="F139" s="22" t="n">
        <v>1280</v>
      </c>
      <c r="G139" s="22" t="n">
        <v>800</v>
      </c>
      <c r="H139" s="23" t="n">
        <v>2080</v>
      </c>
      <c r="I139" s="23" t="n">
        <v>0</v>
      </c>
      <c r="J139" s="23" t="n">
        <v>0</v>
      </c>
      <c r="K139" s="22" t="n">
        <v>0</v>
      </c>
      <c r="L139" s="36" t="inlineStr">
        <is>
          <t>🟢 Alta Rotación (0-3M Nac)</t>
        </is>
      </c>
      <c r="M139" s="52" t="n">
        <v>1.100219136</v>
      </c>
      <c r="N139" s="52" t="n">
        <v>0</v>
      </c>
      <c r="O139" s="52" t="n">
        <v>0</v>
      </c>
      <c r="P139" s="20" t="inlineStr">
        <is>
          <t>Rotación Normal en Campaña Q4</t>
        </is>
      </c>
    </row>
    <row r="140" ht="26" customHeight="1">
      <c r="A140" s="37" t="inlineStr">
        <is>
          <t>TOTAL ROTACIÓN PLANTA (MERCADO NACIONAL)</t>
        </is>
      </c>
      <c r="B140" s="38" t="n"/>
      <c r="C140" s="38" t="n"/>
      <c r="D140" s="39">
        <f>SUM(D9:D139)</f>
        <v/>
      </c>
      <c r="E140" s="39">
        <f>SUM(E9:E139)</f>
        <v/>
      </c>
      <c r="F140" s="39">
        <f>SUM(F9:F139)</f>
        <v/>
      </c>
      <c r="G140" s="39">
        <f>SUM(G9:G139)</f>
        <v/>
      </c>
      <c r="H140" s="39">
        <f>SUM(H9:H139)</f>
        <v/>
      </c>
      <c r="I140" s="39">
        <f>SUM(I9:I139)</f>
        <v/>
      </c>
      <c r="J140" s="39">
        <f>SUM(J9:J139)</f>
        <v/>
      </c>
      <c r="K140" s="39">
        <f>SUM(K9:K139)</f>
        <v/>
      </c>
      <c r="L140" s="40" t="inlineStr"/>
      <c r="M140" s="40" t="inlineStr"/>
      <c r="N140" s="59">
        <f>SUM(N9:N139)</f>
        <v/>
      </c>
      <c r="O140" s="59">
        <f>SUM(O9:O139)</f>
        <v/>
      </c>
      <c r="P140" s="60" t="inlineStr"/>
    </row>
  </sheetData>
  <autoFilter ref="A8:P139"/>
  <mergeCells count="15">
    <mergeCell ref="M5:P5"/>
    <mergeCell ref="A5:D5"/>
    <mergeCell ref="M4:P4"/>
    <mergeCell ref="D7:E7"/>
    <mergeCell ref="A1:P1"/>
    <mergeCell ref="A4:D4"/>
    <mergeCell ref="I7:P7"/>
    <mergeCell ref="E4:H4"/>
    <mergeCell ref="I4:L4"/>
    <mergeCell ref="A140:C140"/>
    <mergeCell ref="F7:H7"/>
    <mergeCell ref="A7:C7"/>
    <mergeCell ref="E5:H5"/>
    <mergeCell ref="I5:L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2026-10-06T13:12:22Z</dcterms:created>
  <dcterms:modified xmlns:dcterms="http://purl.org/dc/terms/" xmlns:xsi="http://www.w3.org/2001/XMLSchema-instance" xsi:type="dcterms:W3CDTF">2026-10-06T13:12:23Z</dcterms:modified>
</cp:coreProperties>
</file>