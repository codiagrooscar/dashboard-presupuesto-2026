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Ricar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0" fontId="0" fillId="14" borderId="3" pivotButton="0" quotePrefix="0" xfId="0"/>
    <xf numFmtId="165" fontId="9" fillId="1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1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RICARDO | Cierre Septiembre Oficial (01/10/2026) vs Previsiones a Final de Año | Generado: 01/10/2026 14:02</t>
        </is>
      </c>
    </row>
    <row r="4" ht="26" customHeight="1">
      <c r="B4" s="3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F111</f>
        <v/>
      </c>
      <c r="C6" s="5" t="n"/>
      <c r="D6" s="5" t="n"/>
      <c r="E6" s="10">
        <f>G111</f>
        <v/>
      </c>
      <c r="F6" s="5" t="n"/>
      <c r="G6" s="5" t="n"/>
      <c r="H6" s="11">
        <f>I111</f>
        <v/>
      </c>
      <c r="I6" s="5" t="n"/>
      <c r="J6" s="11">
        <f>J111</f>
        <v/>
      </c>
      <c r="K6" s="5" t="n"/>
      <c r="L6" s="9">
        <f>R111</f>
        <v/>
      </c>
      <c r="M6" s="5" t="n"/>
      <c r="N6" s="5" t="n"/>
      <c r="O6" s="10">
        <f>S111</f>
        <v/>
      </c>
      <c r="P6" s="5" t="n"/>
      <c r="Q6" s="5" t="n"/>
      <c r="R6" s="12">
        <f>T111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ITALIA</t>
        </is>
      </c>
      <c r="C10" s="21" t="inlineStr">
        <is>
          <t>AIFAR S.P.A</t>
        </is>
      </c>
      <c r="D10" s="20" t="inlineStr">
        <is>
          <t>AN0005</t>
        </is>
      </c>
      <c r="E10" s="21" t="inlineStr">
        <is>
          <t>ALCAPLANT NEW, 5 KG</t>
        </is>
      </c>
      <c r="F10" s="22" t="n">
        <v>0</v>
      </c>
      <c r="G10" s="23" t="n">
        <v>0</v>
      </c>
      <c r="H10" s="22">
        <f>ABS(G10-F10)</f>
        <v/>
      </c>
      <c r="I10" s="24">
        <f>IF(F10&gt;0, G10/F10, IF(G10&gt;0, 1.0, 0.0))</f>
        <v/>
      </c>
      <c r="J10" s="25">
        <f>IF(F10&gt;0, 1.0 - (H10/F10), IF(G10=0, 1.0, 0.0))</f>
        <v/>
      </c>
      <c r="K10" s="26" t="inlineStr"/>
      <c r="L10" s="27" t="n">
        <v>200</v>
      </c>
      <c r="M10" s="28" t="n">
        <v>200</v>
      </c>
      <c r="N10" s="27" t="n">
        <v>0</v>
      </c>
      <c r="O10" s="28" t="n">
        <v>0</v>
      </c>
      <c r="P10" s="27" t="n">
        <v>0</v>
      </c>
      <c r="Q10" s="28" t="n">
        <v>0</v>
      </c>
      <c r="R10" s="22">
        <f>L10+N10+P10</f>
        <v/>
      </c>
      <c r="S10" s="23">
        <f>M10+O10+Q10</f>
        <v/>
      </c>
      <c r="T10" s="29">
        <f>S10-R10</f>
        <v/>
      </c>
      <c r="U10" s="30" t="inlineStr"/>
    </row>
    <row r="11" ht="20" customHeight="1">
      <c r="B11" s="20" t="inlineStr">
        <is>
          <t>ITALIA</t>
        </is>
      </c>
      <c r="C11" s="21" t="inlineStr">
        <is>
          <t>AIFAR S.P.A</t>
        </is>
      </c>
      <c r="D11" s="20" t="inlineStr">
        <is>
          <t>FIORI1000</t>
        </is>
      </c>
      <c r="E11" s="21" t="inlineStr">
        <is>
          <t>RADIFIORI, 1000 L</t>
        </is>
      </c>
      <c r="F11" s="22" t="n">
        <v>0</v>
      </c>
      <c r="G11" s="23" t="n">
        <v>3000</v>
      </c>
      <c r="H11" s="22">
        <f>ABS(G11-F11)</f>
        <v/>
      </c>
      <c r="I11" s="24">
        <f>IF(F11&gt;0, G11/F11, IF(G11&gt;0, 1.0, 0.0))</f>
        <v/>
      </c>
      <c r="J11" s="25">
        <f>IF(F11&gt;0, 1.0 - (H11/F11), IF(G11=0, 1.0, 0.0))</f>
        <v/>
      </c>
      <c r="K11" s="26" t="inlineStr">
        <is>
          <t>Pedido extra no previsto</t>
        </is>
      </c>
      <c r="L11" s="27" t="n">
        <v>3000</v>
      </c>
      <c r="M11" s="28" t="n">
        <v>3000</v>
      </c>
      <c r="N11" s="27" t="n">
        <v>0</v>
      </c>
      <c r="O11" s="28" t="n">
        <v>0</v>
      </c>
      <c r="P11" s="27" t="n">
        <v>3000</v>
      </c>
      <c r="Q11" s="28" t="n">
        <v>3000</v>
      </c>
      <c r="R11" s="22">
        <f>L11+N11+P11</f>
        <v/>
      </c>
      <c r="S11" s="23">
        <f>M11+O11+Q11</f>
        <v/>
      </c>
      <c r="T11" s="29">
        <f>S11-R11</f>
        <v/>
      </c>
      <c r="U11" s="30" t="inlineStr"/>
    </row>
    <row r="12" ht="20" customHeight="1">
      <c r="B12" s="20" t="inlineStr">
        <is>
          <t>CHILE</t>
        </is>
      </c>
      <c r="C12" s="21" t="inlineStr">
        <is>
          <t>BAYER, S.A.</t>
        </is>
      </c>
      <c r="D12" s="20" t="inlineStr">
        <is>
          <t>W330020</t>
        </is>
      </c>
      <c r="E12" s="21" t="inlineStr">
        <is>
          <t>BAYFOLAN SUN, 20 KG</t>
        </is>
      </c>
      <c r="F12" s="22" t="n">
        <v>0</v>
      </c>
      <c r="G12" s="23" t="n">
        <v>0</v>
      </c>
      <c r="H12" s="22">
        <f>ABS(G12-F12)</f>
        <v/>
      </c>
      <c r="I12" s="24">
        <f>IF(F12&gt;0, G12/F12, IF(G12&gt;0, 1.0, 0.0))</f>
        <v/>
      </c>
      <c r="J12" s="25">
        <f>IF(F12&gt;0, 1.0 - (H12/F12), IF(G12=0, 1.0, 0.0))</f>
        <v/>
      </c>
      <c r="K12" s="26" t="inlineStr"/>
      <c r="L12" s="27" t="n">
        <v>0</v>
      </c>
      <c r="M12" s="28" t="n">
        <v>0</v>
      </c>
      <c r="N12" s="27" t="n">
        <v>0</v>
      </c>
      <c r="O12" s="28" t="n">
        <v>0</v>
      </c>
      <c r="P12" s="27" t="n">
        <v>220000</v>
      </c>
      <c r="Q12" s="28" t="n">
        <v>220000</v>
      </c>
      <c r="R12" s="22">
        <f>L12+N12+P12</f>
        <v/>
      </c>
      <c r="S12" s="23">
        <f>M12+O12+Q12</f>
        <v/>
      </c>
      <c r="T12" s="29">
        <f>S12-R12</f>
        <v/>
      </c>
      <c r="U12" s="30" t="inlineStr"/>
    </row>
    <row r="13" ht="20" customHeight="1">
      <c r="B13" s="20" t="inlineStr">
        <is>
          <t>COLOMBIA</t>
        </is>
      </c>
      <c r="C13" s="21" t="inlineStr">
        <is>
          <t>CAMPO ABIERTO, S.A.S.</t>
        </is>
      </c>
      <c r="D13" s="20" t="inlineStr">
        <is>
          <t>AGXCR0001</t>
        </is>
      </c>
      <c r="E13" s="21" t="inlineStr">
        <is>
          <t>AGROXILATO-K</t>
        </is>
      </c>
      <c r="F13" s="22" t="n">
        <v>0</v>
      </c>
      <c r="G13" s="23" t="n">
        <v>840</v>
      </c>
      <c r="H13" s="22">
        <f>ABS(G13-F13)</f>
        <v/>
      </c>
      <c r="I13" s="24">
        <f>IF(F13&gt;0, G13/F13, IF(G13&gt;0, 1.0, 0.0))</f>
        <v/>
      </c>
      <c r="J13" s="25">
        <f>IF(F13&gt;0, 1.0 - (H13/F13), IF(G13=0, 1.0, 0.0))</f>
        <v/>
      </c>
      <c r="K13" s="26" t="inlineStr">
        <is>
          <t>Pedido extra no previsto</t>
        </is>
      </c>
      <c r="L13" s="27" t="n">
        <v>0</v>
      </c>
      <c r="M13" s="28" t="n">
        <v>0</v>
      </c>
      <c r="N13" s="27" t="n">
        <v>600</v>
      </c>
      <c r="O13" s="28" t="n">
        <v>600</v>
      </c>
      <c r="P13" s="27" t="n">
        <v>0</v>
      </c>
      <c r="Q13" s="28" t="n">
        <v>0</v>
      </c>
      <c r="R13" s="22">
        <f>L13+N13+P13</f>
        <v/>
      </c>
      <c r="S13" s="23">
        <f>M13+O13+Q13</f>
        <v/>
      </c>
      <c r="T13" s="29">
        <f>S13-R13</f>
        <v/>
      </c>
      <c r="U13" s="30" t="inlineStr"/>
    </row>
    <row r="14" ht="20" customHeight="1">
      <c r="B14" s="20" t="inlineStr">
        <is>
          <t>COLOMBIA</t>
        </is>
      </c>
      <c r="C14" s="21" t="inlineStr">
        <is>
          <t>CAMPO ABIERTO, S.A.S.</t>
        </is>
      </c>
      <c r="D14" s="20" t="inlineStr">
        <is>
          <t>AGXCR0005</t>
        </is>
      </c>
      <c r="E14" s="21" t="inlineStr">
        <is>
          <t>AGROXILATO-K</t>
        </is>
      </c>
      <c r="F14" s="22" t="n">
        <v>0</v>
      </c>
      <c r="G14" s="23" t="n">
        <v>0</v>
      </c>
      <c r="H14" s="22">
        <f>ABS(G14-F14)</f>
        <v/>
      </c>
      <c r="I14" s="24">
        <f>IF(F14&gt;0, G14/F14, IF(G14&gt;0, 1.0, 0.0))</f>
        <v/>
      </c>
      <c r="J14" s="25">
        <f>IF(F14&gt;0, 1.0 - (H14/F14), IF(G14=0, 1.0, 0.0))</f>
        <v/>
      </c>
      <c r="K14" s="26" t="inlineStr"/>
      <c r="L14" s="27" t="n">
        <v>0</v>
      </c>
      <c r="M14" s="28" t="n">
        <v>0</v>
      </c>
      <c r="N14" s="27" t="n">
        <v>1000</v>
      </c>
      <c r="O14" s="28" t="n">
        <v>1000</v>
      </c>
      <c r="P14" s="27" t="n">
        <v>0</v>
      </c>
      <c r="Q14" s="28" t="n">
        <v>0</v>
      </c>
      <c r="R14" s="22">
        <f>L14+N14+P14</f>
        <v/>
      </c>
      <c r="S14" s="23">
        <f>M14+O14+Q14</f>
        <v/>
      </c>
      <c r="T14" s="29">
        <f>S14-R14</f>
        <v/>
      </c>
      <c r="U14" s="30" t="inlineStr"/>
    </row>
    <row r="15" ht="20" customHeight="1">
      <c r="B15" s="20" t="inlineStr">
        <is>
          <t>COLOMBIA</t>
        </is>
      </c>
      <c r="C15" s="21" t="inlineStr">
        <is>
          <t>CAMPO ABIERTO, S.A.S.</t>
        </is>
      </c>
      <c r="D15" s="20" t="inlineStr">
        <is>
          <t>AGXCR0020</t>
        </is>
      </c>
      <c r="E15" s="21" t="inlineStr">
        <is>
          <t>AGROXILATO-K</t>
        </is>
      </c>
      <c r="F15" s="22" t="n">
        <v>0</v>
      </c>
      <c r="G15" s="23" t="n">
        <v>2000</v>
      </c>
      <c r="H15" s="22">
        <f>ABS(G15-F15)</f>
        <v/>
      </c>
      <c r="I15" s="24">
        <f>IF(F15&gt;0, G15/F15, IF(G15&gt;0, 1.0, 0.0))</f>
        <v/>
      </c>
      <c r="J15" s="25">
        <f>IF(F15&gt;0, 1.0 - (H15/F15), IF(G15=0, 1.0, 0.0))</f>
        <v/>
      </c>
      <c r="K15" s="26" t="inlineStr">
        <is>
          <t>Pedido extra no previsto</t>
        </is>
      </c>
      <c r="L15" s="27" t="n">
        <v>0</v>
      </c>
      <c r="M15" s="28" t="n">
        <v>0</v>
      </c>
      <c r="N15" s="27" t="n">
        <v>800</v>
      </c>
      <c r="O15" s="28" t="n">
        <v>800</v>
      </c>
      <c r="P15" s="27" t="n">
        <v>0</v>
      </c>
      <c r="Q15" s="28" t="n">
        <v>0</v>
      </c>
      <c r="R15" s="22">
        <f>L15+N15+P15</f>
        <v/>
      </c>
      <c r="S15" s="23">
        <f>M15+O15+Q15</f>
        <v/>
      </c>
      <c r="T15" s="29">
        <f>S15-R15</f>
        <v/>
      </c>
      <c r="U15" s="30" t="inlineStr"/>
    </row>
    <row r="16" ht="20" customHeight="1">
      <c r="B16" s="20" t="inlineStr">
        <is>
          <t>COLOMBIA</t>
        </is>
      </c>
      <c r="C16" s="21" t="inlineStr">
        <is>
          <t>CAMPO ABIERTO, S.A.S.</t>
        </is>
      </c>
      <c r="D16" s="20" t="inlineStr">
        <is>
          <t>AN0005</t>
        </is>
      </c>
      <c r="E16" s="21" t="inlineStr">
        <is>
          <t>ALCAPLANT NEW</t>
        </is>
      </c>
      <c r="F16" s="22" t="n">
        <v>0</v>
      </c>
      <c r="G16" s="23" t="n">
        <v>0</v>
      </c>
      <c r="H16" s="22">
        <f>ABS(G16-F16)</f>
        <v/>
      </c>
      <c r="I16" s="24">
        <f>IF(F16&gt;0, G16/F16, IF(G16&gt;0, 1.0, 0.0))</f>
        <v/>
      </c>
      <c r="J16" s="25">
        <f>IF(F16&gt;0, 1.0 - (H16/F16), IF(G16=0, 1.0, 0.0))</f>
        <v/>
      </c>
      <c r="K16" s="26" t="inlineStr"/>
      <c r="L16" s="27" t="n">
        <v>0</v>
      </c>
      <c r="M16" s="28" t="n">
        <v>0</v>
      </c>
      <c r="N16" s="27" t="n">
        <v>15400</v>
      </c>
      <c r="O16" s="28" t="n">
        <v>15400</v>
      </c>
      <c r="P16" s="27" t="n">
        <v>0</v>
      </c>
      <c r="Q16" s="28" t="n">
        <v>0</v>
      </c>
      <c r="R16" s="22">
        <f>L16+N16+P16</f>
        <v/>
      </c>
      <c r="S16" s="23">
        <f>M16+O16+Q16</f>
        <v/>
      </c>
      <c r="T16" s="29">
        <f>S16-R16</f>
        <v/>
      </c>
      <c r="U16" s="30" t="inlineStr"/>
    </row>
    <row r="17" ht="20" customHeight="1">
      <c r="B17" s="20" t="inlineStr">
        <is>
          <t>COLOMBIA</t>
        </is>
      </c>
      <c r="C17" s="21" t="inlineStr">
        <is>
          <t>CAMPO ABIERTO, S.A.S.</t>
        </is>
      </c>
      <c r="D17" s="20" t="inlineStr">
        <is>
          <t>AN0020</t>
        </is>
      </c>
      <c r="E17" s="21" t="inlineStr">
        <is>
          <t>ALCAPLANT NEW</t>
        </is>
      </c>
      <c r="F17" s="22" t="n">
        <v>0</v>
      </c>
      <c r="G17" s="23" t="n">
        <v>4000</v>
      </c>
      <c r="H17" s="22">
        <f>ABS(G17-F17)</f>
        <v/>
      </c>
      <c r="I17" s="24">
        <f>IF(F17&gt;0, G17/F17, IF(G17&gt;0, 1.0, 0.0))</f>
        <v/>
      </c>
      <c r="J17" s="25">
        <f>IF(F17&gt;0, 1.0 - (H17/F17), IF(G17=0, 1.0, 0.0))</f>
        <v/>
      </c>
      <c r="K17" s="26" t="inlineStr">
        <is>
          <t>Pedido extra no previsto</t>
        </is>
      </c>
      <c r="L17" s="27" t="n">
        <v>0</v>
      </c>
      <c r="M17" s="28" t="n">
        <v>0</v>
      </c>
      <c r="N17" s="27" t="n">
        <v>7000</v>
      </c>
      <c r="O17" s="28" t="n">
        <v>7000</v>
      </c>
      <c r="P17" s="27" t="n">
        <v>0</v>
      </c>
      <c r="Q17" s="28" t="n">
        <v>0</v>
      </c>
      <c r="R17" s="22">
        <f>L17+N17+P17</f>
        <v/>
      </c>
      <c r="S17" s="23">
        <f>M17+O17+Q17</f>
        <v/>
      </c>
      <c r="T17" s="29">
        <f>S17-R17</f>
        <v/>
      </c>
      <c r="U17" s="30" t="inlineStr"/>
    </row>
    <row r="18" ht="20" customHeight="1">
      <c r="B18" s="20" t="inlineStr">
        <is>
          <t>COLOMBIA</t>
        </is>
      </c>
      <c r="C18" s="21" t="inlineStr">
        <is>
          <t>CAMPO ABIERTO, S.A.S.</t>
        </is>
      </c>
      <c r="D18" s="20" t="inlineStr">
        <is>
          <t>BPLUS0001</t>
        </is>
      </c>
      <c r="E18" s="21" t="inlineStr">
        <is>
          <t>BOROCAL PLUS, 1 KG</t>
        </is>
      </c>
      <c r="F18" s="22" t="n">
        <v>0</v>
      </c>
      <c r="G18" s="23" t="n">
        <v>0</v>
      </c>
      <c r="H18" s="22">
        <f>ABS(G18-F18)</f>
        <v/>
      </c>
      <c r="I18" s="24">
        <f>IF(F18&gt;0, G18/F18, IF(G18&gt;0, 1.0, 0.0))</f>
        <v/>
      </c>
      <c r="J18" s="25">
        <f>IF(F18&gt;0, 1.0 - (H18/F18), IF(G18=0, 1.0, 0.0))</f>
        <v/>
      </c>
      <c r="K18" s="26" t="inlineStr"/>
      <c r="L18" s="27" t="n">
        <v>0</v>
      </c>
      <c r="M18" s="28" t="n">
        <v>0</v>
      </c>
      <c r="N18" s="27" t="n">
        <v>320</v>
      </c>
      <c r="O18" s="28" t="n">
        <v>320</v>
      </c>
      <c r="P18" s="27" t="n">
        <v>0</v>
      </c>
      <c r="Q18" s="28" t="n">
        <v>0</v>
      </c>
      <c r="R18" s="22">
        <f>L18+N18+P18</f>
        <v/>
      </c>
      <c r="S18" s="23">
        <f>M18+O18+Q18</f>
        <v/>
      </c>
      <c r="T18" s="29">
        <f>S18-R18</f>
        <v/>
      </c>
      <c r="U18" s="30" t="inlineStr"/>
    </row>
    <row r="19" ht="20" customHeight="1">
      <c r="B19" s="20" t="inlineStr">
        <is>
          <t>COLOMBIA</t>
        </is>
      </c>
      <c r="C19" s="21" t="inlineStr">
        <is>
          <t>CAMPO ABIERTO, S.A.S.</t>
        </is>
      </c>
      <c r="D19" s="20" t="inlineStr">
        <is>
          <t>BR-590005</t>
        </is>
      </c>
      <c r="E19" s="21" t="inlineStr">
        <is>
          <t>BR-59</t>
        </is>
      </c>
      <c r="F19" s="22" t="n">
        <v>0</v>
      </c>
      <c r="G19" s="23" t="n">
        <v>0</v>
      </c>
      <c r="H19" s="22">
        <f>ABS(G19-F19)</f>
        <v/>
      </c>
      <c r="I19" s="24">
        <f>IF(F19&gt;0, G19/F19, IF(G19&gt;0, 1.0, 0.0))</f>
        <v/>
      </c>
      <c r="J19" s="25">
        <f>IF(F19&gt;0, 1.0 - (H19/F19), IF(G19=0, 1.0, 0.0))</f>
        <v/>
      </c>
      <c r="K19" s="26" t="inlineStr"/>
      <c r="L19" s="27" t="n">
        <v>0</v>
      </c>
      <c r="M19" s="28" t="n">
        <v>0</v>
      </c>
      <c r="N19" s="27" t="n">
        <v>300</v>
      </c>
      <c r="O19" s="28" t="n">
        <v>300</v>
      </c>
      <c r="P19" s="27" t="n">
        <v>0</v>
      </c>
      <c r="Q19" s="28" t="n">
        <v>0</v>
      </c>
      <c r="R19" s="22">
        <f>L19+N19+P19</f>
        <v/>
      </c>
      <c r="S19" s="23">
        <f>M19+O19+Q19</f>
        <v/>
      </c>
      <c r="T19" s="29">
        <f>S19-R19</f>
        <v/>
      </c>
      <c r="U19" s="30" t="inlineStr"/>
    </row>
    <row r="20" ht="20" customHeight="1">
      <c r="B20" s="20" t="inlineStr">
        <is>
          <t>COLOMBIA</t>
        </is>
      </c>
      <c r="C20" s="21" t="inlineStr">
        <is>
          <t>CAMPO ABIERTO, S.A.S.</t>
        </is>
      </c>
      <c r="D20" s="20" t="inlineStr">
        <is>
          <t>F-A0001</t>
        </is>
      </c>
      <c r="E20" s="21" t="inlineStr">
        <is>
          <t>FITOLIN-AGRO, 1 L</t>
        </is>
      </c>
      <c r="F20" s="22" t="n">
        <v>0</v>
      </c>
      <c r="G20" s="23" t="n">
        <v>0</v>
      </c>
      <c r="H20" s="22">
        <f>ABS(G20-F20)</f>
        <v/>
      </c>
      <c r="I20" s="24">
        <f>IF(F20&gt;0, G20/F20, IF(G20&gt;0, 1.0, 0.0))</f>
        <v/>
      </c>
      <c r="J20" s="25">
        <f>IF(F20&gt;0, 1.0 - (H20/F20), IF(G20=0, 1.0, 0.0))</f>
        <v/>
      </c>
      <c r="K20" s="26" t="inlineStr"/>
      <c r="L20" s="27" t="n">
        <v>0</v>
      </c>
      <c r="M20" s="28" t="n">
        <v>0</v>
      </c>
      <c r="N20" s="27" t="n">
        <v>240</v>
      </c>
      <c r="O20" s="28" t="n">
        <v>240</v>
      </c>
      <c r="P20" s="27" t="n">
        <v>0</v>
      </c>
      <c r="Q20" s="28" t="n">
        <v>0</v>
      </c>
      <c r="R20" s="22">
        <f>L20+N20+P20</f>
        <v/>
      </c>
      <c r="S20" s="23">
        <f>M20+O20+Q20</f>
        <v/>
      </c>
      <c r="T20" s="29">
        <f>S20-R20</f>
        <v/>
      </c>
      <c r="U20" s="30" t="inlineStr"/>
    </row>
    <row r="21" ht="20" customHeight="1">
      <c r="B21" s="20" t="inlineStr">
        <is>
          <t>COLOMBIA</t>
        </is>
      </c>
      <c r="C21" s="21" t="inlineStr">
        <is>
          <t>CAMPO ABIERTO, S.A.S.</t>
        </is>
      </c>
      <c r="D21" s="20" t="inlineStr">
        <is>
          <t>F-A0005</t>
        </is>
      </c>
      <c r="E21" s="21" t="inlineStr">
        <is>
          <t>FITOLIN-AGRO, 5 L</t>
        </is>
      </c>
      <c r="F21" s="22" t="n">
        <v>0</v>
      </c>
      <c r="G21" s="23" t="n">
        <v>0</v>
      </c>
      <c r="H21" s="22">
        <f>ABS(G21-F21)</f>
        <v/>
      </c>
      <c r="I21" s="24">
        <f>IF(F21&gt;0, G21/F21, IF(G21&gt;0, 1.0, 0.0))</f>
        <v/>
      </c>
      <c r="J21" s="25">
        <f>IF(F21&gt;0, 1.0 - (H21/F21), IF(G21=0, 1.0, 0.0))</f>
        <v/>
      </c>
      <c r="K21" s="26" t="inlineStr"/>
      <c r="L21" s="27" t="n">
        <v>0</v>
      </c>
      <c r="M21" s="28" t="n">
        <v>0</v>
      </c>
      <c r="N21" s="27" t="n">
        <v>200</v>
      </c>
      <c r="O21" s="28" t="n">
        <v>200</v>
      </c>
      <c r="P21" s="27" t="n">
        <v>0</v>
      </c>
      <c r="Q21" s="28" t="n">
        <v>0</v>
      </c>
      <c r="R21" s="22">
        <f>L21+N21+P21</f>
        <v/>
      </c>
      <c r="S21" s="23">
        <f>M21+O21+Q21</f>
        <v/>
      </c>
      <c r="T21" s="29">
        <f>S21-R21</f>
        <v/>
      </c>
      <c r="U21" s="30" t="inlineStr"/>
    </row>
    <row r="22" ht="20" customHeight="1">
      <c r="B22" s="20" t="inlineStr">
        <is>
          <t>COLOMBIA</t>
        </is>
      </c>
      <c r="C22" s="21" t="inlineStr">
        <is>
          <t>CAMPO ABIERTO, S.A.S.</t>
        </is>
      </c>
      <c r="D22" s="20" t="inlineStr">
        <is>
          <t>FLORCR0001</t>
        </is>
      </c>
      <c r="E22" s="21" t="inlineStr">
        <is>
          <t>FLORAMEC CR, 1 L</t>
        </is>
      </c>
      <c r="F22" s="22" t="n">
        <v>0</v>
      </c>
      <c r="G22" s="23" t="n">
        <v>0</v>
      </c>
      <c r="H22" s="22">
        <f>ABS(G22-F22)</f>
        <v/>
      </c>
      <c r="I22" s="24">
        <f>IF(F22&gt;0, G22/F22, IF(G22&gt;0, 1.0, 0.0))</f>
        <v/>
      </c>
      <c r="J22" s="25">
        <f>IF(F22&gt;0, 1.0 - (H22/F22), IF(G22=0, 1.0, 0.0))</f>
        <v/>
      </c>
      <c r="K22" s="26" t="inlineStr"/>
      <c r="L22" s="27" t="n">
        <v>0</v>
      </c>
      <c r="M22" s="28" t="n">
        <v>0</v>
      </c>
      <c r="N22" s="27" t="n">
        <v>200</v>
      </c>
      <c r="O22" s="28" t="n">
        <v>200</v>
      </c>
      <c r="P22" s="27" t="n">
        <v>0</v>
      </c>
      <c r="Q22" s="28" t="n">
        <v>0</v>
      </c>
      <c r="R22" s="22">
        <f>L22+N22+P22</f>
        <v/>
      </c>
      <c r="S22" s="23">
        <f>M22+O22+Q22</f>
        <v/>
      </c>
      <c r="T22" s="29">
        <f>S22-R22</f>
        <v/>
      </c>
      <c r="U22" s="30" t="inlineStr"/>
    </row>
    <row r="23" ht="20" customHeight="1">
      <c r="B23" s="20" t="inlineStr">
        <is>
          <t>COLOMBIA</t>
        </is>
      </c>
      <c r="C23" s="21" t="inlineStr">
        <is>
          <t>CAMPO ABIERTO, S.A.S.</t>
        </is>
      </c>
      <c r="D23" s="20" t="inlineStr">
        <is>
          <t>FLORCR0005</t>
        </is>
      </c>
      <c r="E23" s="21" t="inlineStr">
        <is>
          <t>FLORAMEC</t>
        </is>
      </c>
      <c r="F23" s="22" t="n">
        <v>0</v>
      </c>
      <c r="G23" s="23" t="n">
        <v>0</v>
      </c>
      <c r="H23" s="22">
        <f>ABS(G23-F23)</f>
        <v/>
      </c>
      <c r="I23" s="24">
        <f>IF(F23&gt;0, G23/F23, IF(G23&gt;0, 1.0, 0.0))</f>
        <v/>
      </c>
      <c r="J23" s="25">
        <f>IF(F23&gt;0, 1.0 - (H23/F23), IF(G23=0, 1.0, 0.0))</f>
        <v/>
      </c>
      <c r="K23" s="26" t="inlineStr"/>
      <c r="L23" s="27" t="n">
        <v>0</v>
      </c>
      <c r="M23" s="28" t="n">
        <v>0</v>
      </c>
      <c r="N23" s="27" t="n">
        <v>200</v>
      </c>
      <c r="O23" s="28" t="n">
        <v>200</v>
      </c>
      <c r="P23" s="27" t="n">
        <v>0</v>
      </c>
      <c r="Q23" s="28" t="n">
        <v>0</v>
      </c>
      <c r="R23" s="22">
        <f>L23+N23+P23</f>
        <v/>
      </c>
      <c r="S23" s="23">
        <f>M23+O23+Q23</f>
        <v/>
      </c>
      <c r="T23" s="29">
        <f>S23-R23</f>
        <v/>
      </c>
      <c r="U23" s="30" t="inlineStr"/>
    </row>
    <row r="24" ht="20" customHeight="1">
      <c r="B24" s="20" t="inlineStr">
        <is>
          <t>COLOMBIA</t>
        </is>
      </c>
      <c r="C24" s="21" t="inlineStr">
        <is>
          <t>CAMPO ABIERTO, S.A.S.</t>
        </is>
      </c>
      <c r="D24" s="20" t="inlineStr">
        <is>
          <t>G30001</t>
        </is>
      </c>
      <c r="E24" s="21" t="inlineStr">
        <is>
          <t>GREEN-UP, 1 L</t>
        </is>
      </c>
      <c r="F24" s="22" t="n">
        <v>0</v>
      </c>
      <c r="G24" s="23" t="n">
        <v>240</v>
      </c>
      <c r="H24" s="22">
        <f>ABS(G24-F24)</f>
        <v/>
      </c>
      <c r="I24" s="24">
        <f>IF(F24&gt;0, G24/F24, IF(G24&gt;0, 1.0, 0.0))</f>
        <v/>
      </c>
      <c r="J24" s="25">
        <f>IF(F24&gt;0, 1.0 - (H24/F24), IF(G24=0, 1.0, 0.0))</f>
        <v/>
      </c>
      <c r="K24" s="26" t="inlineStr">
        <is>
          <t>Pedido extra no previsto</t>
        </is>
      </c>
      <c r="L24" s="27" t="n">
        <v>0</v>
      </c>
      <c r="M24" s="28" t="n">
        <v>0</v>
      </c>
      <c r="N24" s="27" t="n">
        <v>240</v>
      </c>
      <c r="O24" s="28" t="n">
        <v>240</v>
      </c>
      <c r="P24" s="27" t="n">
        <v>0</v>
      </c>
      <c r="Q24" s="28" t="n">
        <v>0</v>
      </c>
      <c r="R24" s="22">
        <f>L24+N24+P24</f>
        <v/>
      </c>
      <c r="S24" s="23">
        <f>M24+O24+Q24</f>
        <v/>
      </c>
      <c r="T24" s="29">
        <f>S24-R24</f>
        <v/>
      </c>
      <c r="U24" s="30" t="inlineStr"/>
    </row>
    <row r="25" ht="20" customHeight="1">
      <c r="B25" s="20" t="inlineStr">
        <is>
          <t>COLOMBIA</t>
        </is>
      </c>
      <c r="C25" s="21" t="inlineStr">
        <is>
          <t>CAMPO ABIERTO, S.A.S.</t>
        </is>
      </c>
      <c r="D25" s="20" t="inlineStr">
        <is>
          <t>G30005</t>
        </is>
      </c>
      <c r="E25" s="21" t="inlineStr">
        <is>
          <t>GREEN-UP, 5 L</t>
        </is>
      </c>
      <c r="F25" s="22" t="n">
        <v>0</v>
      </c>
      <c r="G25" s="23" t="n">
        <v>0</v>
      </c>
      <c r="H25" s="22">
        <f>ABS(G25-F25)</f>
        <v/>
      </c>
      <c r="I25" s="24">
        <f>IF(F25&gt;0, G25/F25, IF(G25&gt;0, 1.0, 0.0))</f>
        <v/>
      </c>
      <c r="J25" s="25">
        <f>IF(F25&gt;0, 1.0 - (H25/F25), IF(G25=0, 1.0, 0.0))</f>
        <v/>
      </c>
      <c r="K25" s="26" t="inlineStr"/>
      <c r="L25" s="27" t="n">
        <v>0</v>
      </c>
      <c r="M25" s="28" t="n">
        <v>0</v>
      </c>
      <c r="N25" s="27" t="n">
        <v>240</v>
      </c>
      <c r="O25" s="28" t="n">
        <v>240</v>
      </c>
      <c r="P25" s="27" t="n">
        <v>0</v>
      </c>
      <c r="Q25" s="28" t="n">
        <v>0</v>
      </c>
      <c r="R25" s="22">
        <f>L25+N25+P25</f>
        <v/>
      </c>
      <c r="S25" s="23">
        <f>M25+O25+Q25</f>
        <v/>
      </c>
      <c r="T25" s="29">
        <f>S25-R25</f>
        <v/>
      </c>
      <c r="U25" s="30" t="inlineStr"/>
    </row>
    <row r="26" ht="20" customHeight="1">
      <c r="B26" s="20" t="inlineStr">
        <is>
          <t>COLOMBIA</t>
        </is>
      </c>
      <c r="C26" s="21" t="inlineStr">
        <is>
          <t>CAMPO ABIERTO, S.A.S.</t>
        </is>
      </c>
      <c r="D26" s="20" t="inlineStr">
        <is>
          <t>SSEG0001</t>
        </is>
      </c>
      <c r="E26" s="21" t="inlineStr">
        <is>
          <t>SALWAX CALCIO</t>
        </is>
      </c>
      <c r="F26" s="22" t="n">
        <v>0</v>
      </c>
      <c r="G26" s="23" t="n">
        <v>324</v>
      </c>
      <c r="H26" s="22">
        <f>ABS(G26-F26)</f>
        <v/>
      </c>
      <c r="I26" s="24">
        <f>IF(F26&gt;0, G26/F26, IF(G26&gt;0, 1.0, 0.0))</f>
        <v/>
      </c>
      <c r="J26" s="25">
        <f>IF(F26&gt;0, 1.0 - (H26/F26), IF(G26=0, 1.0, 0.0))</f>
        <v/>
      </c>
      <c r="K26" s="26" t="inlineStr">
        <is>
          <t>Pedido extra no previsto</t>
        </is>
      </c>
      <c r="L26" s="27" t="n">
        <v>0</v>
      </c>
      <c r="M26" s="28" t="n">
        <v>0</v>
      </c>
      <c r="N26" s="27" t="n">
        <v>240</v>
      </c>
      <c r="O26" s="28" t="n">
        <v>240</v>
      </c>
      <c r="P26" s="27" t="n">
        <v>0</v>
      </c>
      <c r="Q26" s="28" t="n">
        <v>0</v>
      </c>
      <c r="R26" s="22">
        <f>L26+N26+P26</f>
        <v/>
      </c>
      <c r="S26" s="23">
        <f>M26+O26+Q26</f>
        <v/>
      </c>
      <c r="T26" s="29">
        <f>S26-R26</f>
        <v/>
      </c>
      <c r="U26" s="30" t="inlineStr"/>
    </row>
    <row r="27" ht="20" customHeight="1">
      <c r="B27" s="20" t="inlineStr">
        <is>
          <t>COLOMBIA</t>
        </is>
      </c>
      <c r="C27" s="21" t="inlineStr">
        <is>
          <t>CAMPO ABIERTO, S.A.S.</t>
        </is>
      </c>
      <c r="D27" s="20" t="inlineStr">
        <is>
          <t>SSEG0005</t>
        </is>
      </c>
      <c r="E27" s="21" t="inlineStr">
        <is>
          <t>SALWAX CALCIO EGIPTO, 5 KG</t>
        </is>
      </c>
      <c r="F27" s="22" t="n">
        <v>0</v>
      </c>
      <c r="G27" s="23" t="n">
        <v>480</v>
      </c>
      <c r="H27" s="22">
        <f>ABS(G27-F27)</f>
        <v/>
      </c>
      <c r="I27" s="24">
        <f>IF(F27&gt;0, G27/F27, IF(G27&gt;0, 1.0, 0.0))</f>
        <v/>
      </c>
      <c r="J27" s="25">
        <f>IF(F27&gt;0, 1.0 - (H27/F27), IF(G27=0, 1.0, 0.0))</f>
        <v/>
      </c>
      <c r="K27" s="26" t="inlineStr">
        <is>
          <t>Pedido extra no previsto</t>
        </is>
      </c>
      <c r="L27" s="27" t="n">
        <v>0</v>
      </c>
      <c r="M27" s="28" t="n">
        <v>0</v>
      </c>
      <c r="N27" s="27" t="n">
        <v>100</v>
      </c>
      <c r="O27" s="28" t="n">
        <v>100</v>
      </c>
      <c r="P27" s="27" t="n">
        <v>0</v>
      </c>
      <c r="Q27" s="28" t="n">
        <v>0</v>
      </c>
      <c r="R27" s="22">
        <f>L27+N27+P27</f>
        <v/>
      </c>
      <c r="S27" s="23">
        <f>M27+O27+Q27</f>
        <v/>
      </c>
      <c r="T27" s="29">
        <f>S27-R27</f>
        <v/>
      </c>
      <c r="U27" s="30" t="inlineStr"/>
    </row>
    <row r="28" ht="20" customHeight="1">
      <c r="B28" s="20" t="inlineStr">
        <is>
          <t>ESPAÑA</t>
        </is>
      </c>
      <c r="C28" s="21" t="inlineStr">
        <is>
          <t>CAMPO ABIERTO, S.A.S.</t>
        </is>
      </c>
      <c r="D28" s="20" t="inlineStr">
        <is>
          <t>SSEG0020</t>
        </is>
      </c>
      <c r="E28" s="21" t="inlineStr">
        <is>
          <t>SALWAX CALCIO EGIPTO, 20 KG</t>
        </is>
      </c>
      <c r="F28" s="22" t="n">
        <v>0</v>
      </c>
      <c r="G28" s="23" t="n">
        <v>1200</v>
      </c>
      <c r="H28" s="22">
        <f>ABS(G28-F28)</f>
        <v/>
      </c>
      <c r="I28" s="24">
        <f>IF(F28&gt;0, G28/F28, IF(G28&gt;0, 1.0, 0.0))</f>
        <v/>
      </c>
      <c r="J28" s="25">
        <f>IF(F28&gt;0, 1.0 - (H28/F28), IF(G28=0, 1.0, 0.0))</f>
        <v/>
      </c>
      <c r="K28" s="26" t="inlineStr">
        <is>
          <t>Pedido extra no previsto</t>
        </is>
      </c>
      <c r="L28" s="27" t="n">
        <v>0</v>
      </c>
      <c r="M28" s="28" t="n">
        <v>0</v>
      </c>
      <c r="N28" s="27" t="n">
        <v>0</v>
      </c>
      <c r="O28" s="28" t="n">
        <v>0</v>
      </c>
      <c r="P28" s="27" t="n">
        <v>0</v>
      </c>
      <c r="Q28" s="28" t="n">
        <v>0</v>
      </c>
      <c r="R28" s="22">
        <f>L28+N28+P28</f>
        <v/>
      </c>
      <c r="S28" s="23">
        <f>M28+O28+Q28</f>
        <v/>
      </c>
      <c r="T28" s="29">
        <f>S28-R28</f>
        <v/>
      </c>
      <c r="U28" s="30" t="inlineStr"/>
    </row>
    <row r="29" ht="20" customHeight="1">
      <c r="B29" s="20" t="inlineStr">
        <is>
          <t>ECUADOR (incluidas las Islas Galápagos)</t>
        </is>
      </c>
      <c r="C29" s="21" t="inlineStr">
        <is>
          <t>ECUAQUIMICA</t>
        </is>
      </c>
      <c r="D29" s="20" t="inlineStr">
        <is>
          <t>AN0005</t>
        </is>
      </c>
      <c r="E29" s="21" t="inlineStr">
        <is>
          <t>ALCAPLANT NEW</t>
        </is>
      </c>
      <c r="F29" s="22" t="n">
        <v>0</v>
      </c>
      <c r="G29" s="23" t="n">
        <v>2200</v>
      </c>
      <c r="H29" s="22">
        <f>ABS(G29-F29)</f>
        <v/>
      </c>
      <c r="I29" s="24">
        <f>IF(F29&gt;0, G29/F29, IF(G29&gt;0, 1.0, 0.0))</f>
        <v/>
      </c>
      <c r="J29" s="25">
        <f>IF(F29&gt;0, 1.0 - (H29/F29), IF(G29=0, 1.0, 0.0))</f>
        <v/>
      </c>
      <c r="K29" s="26" t="inlineStr">
        <is>
          <t>Pedido extra no previsto</t>
        </is>
      </c>
      <c r="L29" s="27" t="n">
        <v>4400</v>
      </c>
      <c r="M29" s="28" t="n">
        <v>4400</v>
      </c>
      <c r="N29" s="27" t="n">
        <v>0</v>
      </c>
      <c r="O29" s="28" t="n">
        <v>0</v>
      </c>
      <c r="P29" s="27" t="n">
        <v>0</v>
      </c>
      <c r="Q29" s="28" t="n">
        <v>0</v>
      </c>
      <c r="R29" s="22">
        <f>L29+N29+P29</f>
        <v/>
      </c>
      <c r="S29" s="23">
        <f>M29+O29+Q29</f>
        <v/>
      </c>
      <c r="T29" s="29">
        <f>S29-R29</f>
        <v/>
      </c>
      <c r="U29" s="30" t="inlineStr"/>
    </row>
    <row r="30" ht="20" customHeight="1">
      <c r="B30" s="20" t="inlineStr">
        <is>
          <t>ECUADOR (incluidas las Islas Galápagos)</t>
        </is>
      </c>
      <c r="C30" s="21" t="inlineStr">
        <is>
          <t>ECUAQUIMICA</t>
        </is>
      </c>
      <c r="D30" s="20" t="inlineStr">
        <is>
          <t>AN0020</t>
        </is>
      </c>
      <c r="E30" s="21" t="inlineStr">
        <is>
          <t>ALCAPLANT NEW</t>
        </is>
      </c>
      <c r="F30" s="22" t="n">
        <v>0</v>
      </c>
      <c r="G30" s="23" t="n">
        <v>6600</v>
      </c>
      <c r="H30" s="22">
        <f>ABS(G30-F30)</f>
        <v/>
      </c>
      <c r="I30" s="24">
        <f>IF(F30&gt;0, G30/F30, IF(G30&gt;0, 1.0, 0.0))</f>
        <v/>
      </c>
      <c r="J30" s="25">
        <f>IF(F30&gt;0, 1.0 - (H30/F30), IF(G30=0, 1.0, 0.0))</f>
        <v/>
      </c>
      <c r="K30" s="26" t="inlineStr">
        <is>
          <t>Pedido extra no previsto</t>
        </is>
      </c>
      <c r="L30" s="27" t="n">
        <v>10000</v>
      </c>
      <c r="M30" s="28" t="n">
        <v>10000</v>
      </c>
      <c r="N30" s="27" t="n">
        <v>0</v>
      </c>
      <c r="O30" s="28" t="n">
        <v>0</v>
      </c>
      <c r="P30" s="27" t="n">
        <v>0</v>
      </c>
      <c r="Q30" s="28" t="n">
        <v>0</v>
      </c>
      <c r="R30" s="22">
        <f>L30+N30+P30</f>
        <v/>
      </c>
      <c r="S30" s="23">
        <f>M30+O30+Q30</f>
        <v/>
      </c>
      <c r="T30" s="29">
        <f>S30-R30</f>
        <v/>
      </c>
      <c r="U30" s="30" t="inlineStr"/>
    </row>
    <row r="31" ht="20" customHeight="1">
      <c r="B31" s="20" t="inlineStr">
        <is>
          <t>ECUADOR (incluidas las Islas Galápagos)</t>
        </is>
      </c>
      <c r="C31" s="21" t="inlineStr">
        <is>
          <t>ECUAQUIMICA</t>
        </is>
      </c>
      <c r="D31" s="20" t="inlineStr">
        <is>
          <t>C-CU0001</t>
        </is>
      </c>
      <c r="E31" s="21" t="inlineStr">
        <is>
          <t>CODICOBRE</t>
        </is>
      </c>
      <c r="F31" s="22" t="n">
        <v>0</v>
      </c>
      <c r="G31" s="23" t="n">
        <v>0</v>
      </c>
      <c r="H31" s="22">
        <f>ABS(G31-F31)</f>
        <v/>
      </c>
      <c r="I31" s="24">
        <f>IF(F31&gt;0, G31/F31, IF(G31&gt;0, 1.0, 0.0))</f>
        <v/>
      </c>
      <c r="J31" s="25">
        <f>IF(F31&gt;0, 1.0 - (H31/F31), IF(G31=0, 1.0, 0.0))</f>
        <v/>
      </c>
      <c r="K31" s="26" t="inlineStr"/>
      <c r="L31" s="27" t="n">
        <v>2376</v>
      </c>
      <c r="M31" s="28" t="n">
        <v>2376</v>
      </c>
      <c r="N31" s="27" t="n">
        <v>0</v>
      </c>
      <c r="O31" s="28" t="n">
        <v>0</v>
      </c>
      <c r="P31" s="27" t="n">
        <v>0</v>
      </c>
      <c r="Q31" s="28" t="n">
        <v>0</v>
      </c>
      <c r="R31" s="22">
        <f>L31+N31+P31</f>
        <v/>
      </c>
      <c r="S31" s="23">
        <f>M31+O31+Q31</f>
        <v/>
      </c>
      <c r="T31" s="29">
        <f>S31-R31</f>
        <v/>
      </c>
      <c r="U31" s="30" t="inlineStr"/>
    </row>
    <row r="32" ht="20" customHeight="1">
      <c r="B32" s="20" t="inlineStr">
        <is>
          <t>COSTA RICA</t>
        </is>
      </c>
      <c r="C32" s="21" t="inlineStr">
        <is>
          <t>EUROFERTIL, S.A.</t>
        </is>
      </c>
      <c r="D32" s="20" t="inlineStr">
        <is>
          <t>A-500005</t>
        </is>
      </c>
      <c r="E32" s="21" t="inlineStr">
        <is>
          <t>CODIORGAN-A50, 5 KG</t>
        </is>
      </c>
      <c r="F32" s="22" t="n">
        <v>0</v>
      </c>
      <c r="G32" s="23" t="n">
        <v>0</v>
      </c>
      <c r="H32" s="22">
        <f>ABS(G32-F32)</f>
        <v/>
      </c>
      <c r="I32" s="24">
        <f>IF(F32&gt;0, G32/F32, IF(G32&gt;0, 1.0, 0.0))</f>
        <v/>
      </c>
      <c r="J32" s="25">
        <f>IF(F32&gt;0, 1.0 - (H32/F32), IF(G32=0, 1.0, 0.0))</f>
        <v/>
      </c>
      <c r="K32" s="26" t="inlineStr"/>
      <c r="L32" s="27" t="n">
        <v>1000</v>
      </c>
      <c r="M32" s="28" t="n">
        <v>1000</v>
      </c>
      <c r="N32" s="27" t="n">
        <v>1000</v>
      </c>
      <c r="O32" s="28" t="n">
        <v>1000</v>
      </c>
      <c r="P32" s="27" t="n">
        <v>0</v>
      </c>
      <c r="Q32" s="28" t="n">
        <v>0</v>
      </c>
      <c r="R32" s="22">
        <f>L32+N32+P32</f>
        <v/>
      </c>
      <c r="S32" s="23">
        <f>M32+O32+Q32</f>
        <v/>
      </c>
      <c r="T32" s="29">
        <f>S32-R32</f>
        <v/>
      </c>
      <c r="U32" s="30" t="inlineStr"/>
    </row>
    <row r="33" ht="20" customHeight="1">
      <c r="B33" s="20" t="inlineStr">
        <is>
          <t>COSTA RICA</t>
        </is>
      </c>
      <c r="C33" s="21" t="inlineStr">
        <is>
          <t>EUROFERTIL, S.A.</t>
        </is>
      </c>
      <c r="D33" s="20" t="inlineStr">
        <is>
          <t>A-500020</t>
        </is>
      </c>
      <c r="E33" s="21" t="inlineStr">
        <is>
          <t>CODIORGAN  A-50</t>
        </is>
      </c>
      <c r="F33" s="22" t="n">
        <v>0</v>
      </c>
      <c r="G33" s="23" t="n">
        <v>0</v>
      </c>
      <c r="H33" s="22">
        <f>ABS(G33-F33)</f>
        <v/>
      </c>
      <c r="I33" s="24">
        <f>IF(F33&gt;0, G33/F33, IF(G33&gt;0, 1.0, 0.0))</f>
        <v/>
      </c>
      <c r="J33" s="25">
        <f>IF(F33&gt;0, 1.0 - (H33/F33), IF(G33=0, 1.0, 0.0))</f>
        <v/>
      </c>
      <c r="K33" s="26" t="inlineStr"/>
      <c r="L33" s="27" t="n">
        <v>0</v>
      </c>
      <c r="M33" s="28" t="n">
        <v>0</v>
      </c>
      <c r="N33" s="27" t="n">
        <v>1000</v>
      </c>
      <c r="O33" s="28" t="n">
        <v>1000</v>
      </c>
      <c r="P33" s="27" t="n">
        <v>0</v>
      </c>
      <c r="Q33" s="28" t="n">
        <v>0</v>
      </c>
      <c r="R33" s="22">
        <f>L33+N33+P33</f>
        <v/>
      </c>
      <c r="S33" s="23">
        <f>M33+O33+Q33</f>
        <v/>
      </c>
      <c r="T33" s="29">
        <f>S33-R33</f>
        <v/>
      </c>
      <c r="U33" s="30" t="inlineStr"/>
    </row>
    <row r="34" ht="20" customHeight="1">
      <c r="B34" s="20" t="inlineStr">
        <is>
          <t>COSTA RICA</t>
        </is>
      </c>
      <c r="C34" s="21" t="inlineStr">
        <is>
          <t>EUROFERTIL, S.A.</t>
        </is>
      </c>
      <c r="D34" s="20" t="inlineStr">
        <is>
          <t>AGMG0005</t>
        </is>
      </c>
      <c r="E34" s="21" t="inlineStr">
        <is>
          <t>AGROXILATO-MG, 5 KG (EXPORT)</t>
        </is>
      </c>
      <c r="F34" s="22" t="n">
        <v>0</v>
      </c>
      <c r="G34" s="23" t="n">
        <v>0</v>
      </c>
      <c r="H34" s="22">
        <f>ABS(G34-F34)</f>
        <v/>
      </c>
      <c r="I34" s="24">
        <f>IF(F34&gt;0, G34/F34, IF(G34&gt;0, 1.0, 0.0))</f>
        <v/>
      </c>
      <c r="J34" s="25">
        <f>IF(F34&gt;0, 1.0 - (H34/F34), IF(G34=0, 1.0, 0.0))</f>
        <v/>
      </c>
      <c r="K34" s="26" t="inlineStr"/>
      <c r="L34" s="27" t="n">
        <v>500</v>
      </c>
      <c r="M34" s="28" t="n">
        <v>500</v>
      </c>
      <c r="N34" s="27" t="n">
        <v>0</v>
      </c>
      <c r="O34" s="28" t="n">
        <v>0</v>
      </c>
      <c r="P34" s="27" t="n">
        <v>500</v>
      </c>
      <c r="Q34" s="28" t="n">
        <v>500</v>
      </c>
      <c r="R34" s="22">
        <f>L34+N34+P34</f>
        <v/>
      </c>
      <c r="S34" s="23">
        <f>M34+O34+Q34</f>
        <v/>
      </c>
      <c r="T34" s="29">
        <f>S34-R34</f>
        <v/>
      </c>
      <c r="U34" s="30" t="inlineStr"/>
    </row>
    <row r="35" ht="20" customHeight="1">
      <c r="B35" s="20" t="inlineStr">
        <is>
          <t>COSTA RICA</t>
        </is>
      </c>
      <c r="C35" s="21" t="inlineStr">
        <is>
          <t>EUROFERTIL, S.A.</t>
        </is>
      </c>
      <c r="D35" s="20" t="inlineStr">
        <is>
          <t>AGMG0020</t>
        </is>
      </c>
      <c r="E35" s="21" t="inlineStr">
        <is>
          <t>AGROXILATO MG, 20 KG (EXPORT)</t>
        </is>
      </c>
      <c r="F35" s="22" t="n">
        <v>0</v>
      </c>
      <c r="G35" s="23" t="n">
        <v>0</v>
      </c>
      <c r="H35" s="22">
        <f>ABS(G35-F35)</f>
        <v/>
      </c>
      <c r="I35" s="24">
        <f>IF(F35&gt;0, G35/F35, IF(G35&gt;0, 1.0, 0.0))</f>
        <v/>
      </c>
      <c r="J35" s="25">
        <f>IF(F35&gt;0, 1.0 - (H35/F35), IF(G35=0, 1.0, 0.0))</f>
        <v/>
      </c>
      <c r="K35" s="26" t="inlineStr"/>
      <c r="L35" s="27" t="n">
        <v>0</v>
      </c>
      <c r="M35" s="28" t="n">
        <v>0</v>
      </c>
      <c r="N35" s="27" t="n">
        <v>800</v>
      </c>
      <c r="O35" s="28" t="n">
        <v>800</v>
      </c>
      <c r="P35" s="27" t="n">
        <v>0</v>
      </c>
      <c r="Q35" s="28" t="n">
        <v>0</v>
      </c>
      <c r="R35" s="22">
        <f>L35+N35+P35</f>
        <v/>
      </c>
      <c r="S35" s="23">
        <f>M35+O35+Q35</f>
        <v/>
      </c>
      <c r="T35" s="29">
        <f>S35-R35</f>
        <v/>
      </c>
      <c r="U35" s="30" t="inlineStr"/>
    </row>
    <row r="36" ht="20" customHeight="1">
      <c r="B36" s="20" t="inlineStr">
        <is>
          <t>COSTA RICA</t>
        </is>
      </c>
      <c r="C36" s="21" t="inlineStr">
        <is>
          <t>EUROFERTIL, S.A.</t>
        </is>
      </c>
      <c r="D36" s="20" t="inlineStr">
        <is>
          <t>AGXCR1000</t>
        </is>
      </c>
      <c r="E36" s="21" t="inlineStr">
        <is>
          <t>AGROXILATO-K</t>
        </is>
      </c>
      <c r="F36" s="22" t="n">
        <v>0</v>
      </c>
      <c r="G36" s="23" t="n">
        <v>0</v>
      </c>
      <c r="H36" s="22">
        <f>ABS(G36-F36)</f>
        <v/>
      </c>
      <c r="I36" s="24">
        <f>IF(F36&gt;0, G36/F36, IF(G36&gt;0, 1.0, 0.0))</f>
        <v/>
      </c>
      <c r="J36" s="25">
        <f>IF(F36&gt;0, 1.0 - (H36/F36), IF(G36=0, 1.0, 0.0))</f>
        <v/>
      </c>
      <c r="K36" s="26" t="inlineStr"/>
      <c r="L36" s="27" t="n">
        <v>4000</v>
      </c>
      <c r="M36" s="28" t="n">
        <v>4000</v>
      </c>
      <c r="N36" s="27" t="n">
        <v>4000</v>
      </c>
      <c r="O36" s="28" t="n">
        <v>4000</v>
      </c>
      <c r="P36" s="27" t="n">
        <v>4000</v>
      </c>
      <c r="Q36" s="28" t="n">
        <v>4000</v>
      </c>
      <c r="R36" s="22">
        <f>L36+N36+P36</f>
        <v/>
      </c>
      <c r="S36" s="23">
        <f>M36+O36+Q36</f>
        <v/>
      </c>
      <c r="T36" s="29">
        <f>S36-R36</f>
        <v/>
      </c>
      <c r="U36" s="30" t="inlineStr"/>
    </row>
    <row r="37" ht="20" customHeight="1">
      <c r="B37" s="20" t="inlineStr">
        <is>
          <t>COSTA RICA</t>
        </is>
      </c>
      <c r="C37" s="21" t="inlineStr">
        <is>
          <t>EUROFERTIL, S.A.</t>
        </is>
      </c>
      <c r="D37" s="20" t="inlineStr">
        <is>
          <t>AGZN0001</t>
        </is>
      </c>
      <c r="E37" s="21" t="inlineStr">
        <is>
          <t>AGROXILATO Zn</t>
        </is>
      </c>
      <c r="F37" s="22" t="n">
        <v>0</v>
      </c>
      <c r="G37" s="23" t="n">
        <v>0</v>
      </c>
      <c r="H37" s="22">
        <f>ABS(G37-F37)</f>
        <v/>
      </c>
      <c r="I37" s="24">
        <f>IF(F37&gt;0, G37/F37, IF(G37&gt;0, 1.0, 0.0))</f>
        <v/>
      </c>
      <c r="J37" s="25">
        <f>IF(F37&gt;0, 1.0 - (H37/F37), IF(G37=0, 1.0, 0.0))</f>
        <v/>
      </c>
      <c r="K37" s="26" t="inlineStr"/>
      <c r="L37" s="27" t="n">
        <v>0</v>
      </c>
      <c r="M37" s="28" t="n">
        <v>0</v>
      </c>
      <c r="N37" s="27" t="n">
        <v>1056</v>
      </c>
      <c r="O37" s="28" t="n">
        <v>1056</v>
      </c>
      <c r="P37" s="27" t="n">
        <v>0</v>
      </c>
      <c r="Q37" s="28" t="n">
        <v>0</v>
      </c>
      <c r="R37" s="22">
        <f>L37+N37+P37</f>
        <v/>
      </c>
      <c r="S37" s="23">
        <f>M37+O37+Q37</f>
        <v/>
      </c>
      <c r="T37" s="29">
        <f>S37-R37</f>
        <v/>
      </c>
      <c r="U37" s="30" t="inlineStr"/>
    </row>
    <row r="38" ht="20" customHeight="1">
      <c r="B38" s="20" t="inlineStr">
        <is>
          <t>COSTA RICA</t>
        </is>
      </c>
      <c r="C38" s="21" t="inlineStr">
        <is>
          <t>EUROFERTIL, S.A.</t>
        </is>
      </c>
      <c r="D38" s="20" t="inlineStr">
        <is>
          <t>AGZN0005</t>
        </is>
      </c>
      <c r="E38" s="21" t="inlineStr">
        <is>
          <t>AGROXILATO-ZN 16%,  5 KG (EXPORT)</t>
        </is>
      </c>
      <c r="F38" s="22" t="n">
        <v>0</v>
      </c>
      <c r="G38" s="23" t="n">
        <v>0</v>
      </c>
      <c r="H38" s="22">
        <f>ABS(G38-F38)</f>
        <v/>
      </c>
      <c r="I38" s="24">
        <f>IF(F38&gt;0, G38/F38, IF(G38&gt;0, 1.0, 0.0))</f>
        <v/>
      </c>
      <c r="J38" s="25">
        <f>IF(F38&gt;0, 1.0 - (H38/F38), IF(G38=0, 1.0, 0.0))</f>
        <v/>
      </c>
      <c r="K38" s="26" t="inlineStr"/>
      <c r="L38" s="27" t="n">
        <v>1000</v>
      </c>
      <c r="M38" s="28" t="n">
        <v>1000</v>
      </c>
      <c r="N38" s="27" t="n">
        <v>0</v>
      </c>
      <c r="O38" s="28" t="n">
        <v>0</v>
      </c>
      <c r="P38" s="27" t="n">
        <v>500</v>
      </c>
      <c r="Q38" s="28" t="n">
        <v>500</v>
      </c>
      <c r="R38" s="22">
        <f>L38+N38+P38</f>
        <v/>
      </c>
      <c r="S38" s="23">
        <f>M38+O38+Q38</f>
        <v/>
      </c>
      <c r="T38" s="29">
        <f>S38-R38</f>
        <v/>
      </c>
      <c r="U38" s="30" t="inlineStr"/>
    </row>
    <row r="39" ht="20" customHeight="1">
      <c r="B39" s="20" t="inlineStr">
        <is>
          <t>COSTA RICA</t>
        </is>
      </c>
      <c r="C39" s="21" t="inlineStr">
        <is>
          <t>EUROFERTIL, S.A.</t>
        </is>
      </c>
      <c r="D39" s="20" t="inlineStr">
        <is>
          <t>AN0005</t>
        </is>
      </c>
      <c r="E39" s="21" t="inlineStr">
        <is>
          <t>ALCAPLANT</t>
        </is>
      </c>
      <c r="F39" s="22" t="n">
        <v>0</v>
      </c>
      <c r="G39" s="23" t="n">
        <v>0</v>
      </c>
      <c r="H39" s="22">
        <f>ABS(G39-F39)</f>
        <v/>
      </c>
      <c r="I39" s="24">
        <f>IF(F39&gt;0, G39/F39, IF(G39&gt;0, 1.0, 0.0))</f>
        <v/>
      </c>
      <c r="J39" s="25">
        <f>IF(F39&gt;0, 1.0 - (H39/F39), IF(G39=0, 1.0, 0.0))</f>
        <v/>
      </c>
      <c r="K39" s="26" t="inlineStr"/>
      <c r="L39" s="27" t="n">
        <v>11000</v>
      </c>
      <c r="M39" s="28" t="n">
        <v>11000</v>
      </c>
      <c r="N39" s="27" t="n">
        <v>0</v>
      </c>
      <c r="O39" s="28" t="n">
        <v>0</v>
      </c>
      <c r="P39" s="27" t="n">
        <v>7000</v>
      </c>
      <c r="Q39" s="28" t="n">
        <v>7000</v>
      </c>
      <c r="R39" s="22">
        <f>L39+N39+P39</f>
        <v/>
      </c>
      <c r="S39" s="23">
        <f>M39+O39+Q39</f>
        <v/>
      </c>
      <c r="T39" s="29">
        <f>S39-R39</f>
        <v/>
      </c>
      <c r="U39" s="30" t="inlineStr"/>
    </row>
    <row r="40" ht="20" customHeight="1">
      <c r="B40" s="20" t="inlineStr">
        <is>
          <t>COSTA RICA</t>
        </is>
      </c>
      <c r="C40" s="21" t="inlineStr">
        <is>
          <t>EUROFERTIL, S.A.</t>
        </is>
      </c>
      <c r="D40" s="20" t="inlineStr">
        <is>
          <t>AN0020</t>
        </is>
      </c>
      <c r="E40" s="21" t="inlineStr">
        <is>
          <t>ALCAPLANT</t>
        </is>
      </c>
      <c r="F40" s="22" t="n">
        <v>0</v>
      </c>
      <c r="G40" s="23" t="n">
        <v>0</v>
      </c>
      <c r="H40" s="22">
        <f>ABS(G40-F40)</f>
        <v/>
      </c>
      <c r="I40" s="24">
        <f>IF(F40&gt;0, G40/F40, IF(G40&gt;0, 1.0, 0.0))</f>
        <v/>
      </c>
      <c r="J40" s="25">
        <f>IF(F40&gt;0, 1.0 - (H40/F40), IF(G40=0, 1.0, 0.0))</f>
        <v/>
      </c>
      <c r="K40" s="26" t="inlineStr"/>
      <c r="L40" s="27" t="n">
        <v>11000</v>
      </c>
      <c r="M40" s="28" t="n">
        <v>11000</v>
      </c>
      <c r="N40" s="27" t="n">
        <v>15400</v>
      </c>
      <c r="O40" s="28" t="n">
        <v>15400</v>
      </c>
      <c r="P40" s="27" t="n">
        <v>0</v>
      </c>
      <c r="Q40" s="28" t="n">
        <v>0</v>
      </c>
      <c r="R40" s="22">
        <f>L40+N40+P40</f>
        <v/>
      </c>
      <c r="S40" s="23">
        <f>M40+O40+Q40</f>
        <v/>
      </c>
      <c r="T40" s="29">
        <f>S40-R40</f>
        <v/>
      </c>
      <c r="U40" s="30" t="inlineStr"/>
    </row>
    <row r="41" ht="20" customHeight="1">
      <c r="B41" s="20" t="inlineStr">
        <is>
          <t>COSTA RICA</t>
        </is>
      </c>
      <c r="C41" s="21" t="inlineStr">
        <is>
          <t>EUROFERTIL, S.A.</t>
        </is>
      </c>
      <c r="D41" s="20" t="inlineStr">
        <is>
          <t>B1000</t>
        </is>
      </c>
      <c r="E41" s="21" t="inlineStr">
        <is>
          <t>BOROCAL, 1000 L</t>
        </is>
      </c>
      <c r="F41" s="22" t="n">
        <v>0</v>
      </c>
      <c r="G41" s="23" t="n">
        <v>0</v>
      </c>
      <c r="H41" s="22">
        <f>ABS(G41-F41)</f>
        <v/>
      </c>
      <c r="I41" s="24">
        <f>IF(F41&gt;0, G41/F41, IF(G41&gt;0, 1.0, 0.0))</f>
        <v/>
      </c>
      <c r="J41" s="25">
        <f>IF(F41&gt;0, 1.0 - (H41/F41), IF(G41=0, 1.0, 0.0))</f>
        <v/>
      </c>
      <c r="K41" s="26" t="inlineStr"/>
      <c r="L41" s="27" t="n">
        <v>3000</v>
      </c>
      <c r="M41" s="28" t="n">
        <v>3000</v>
      </c>
      <c r="N41" s="27" t="n">
        <v>0</v>
      </c>
      <c r="O41" s="28" t="n">
        <v>0</v>
      </c>
      <c r="P41" s="27" t="n">
        <v>3000</v>
      </c>
      <c r="Q41" s="28" t="n">
        <v>3000</v>
      </c>
      <c r="R41" s="22">
        <f>L41+N41+P41</f>
        <v/>
      </c>
      <c r="S41" s="23">
        <f>M41+O41+Q41</f>
        <v/>
      </c>
      <c r="T41" s="29">
        <f>S41-R41</f>
        <v/>
      </c>
      <c r="U41" s="30" t="inlineStr"/>
    </row>
    <row r="42" ht="20" customHeight="1">
      <c r="B42" s="20" t="inlineStr">
        <is>
          <t>COSTA RICA</t>
        </is>
      </c>
      <c r="C42" s="21" t="inlineStr">
        <is>
          <t>EUROFERTIL, S.A.</t>
        </is>
      </c>
      <c r="D42" s="20" t="inlineStr">
        <is>
          <t>C-CU1000</t>
        </is>
      </c>
      <c r="E42" s="21" t="inlineStr">
        <is>
          <t>CODICOBRE</t>
        </is>
      </c>
      <c r="F42" s="22" t="n">
        <v>0</v>
      </c>
      <c r="G42" s="23" t="n">
        <v>0</v>
      </c>
      <c r="H42" s="22">
        <f>ABS(G42-F42)</f>
        <v/>
      </c>
      <c r="I42" s="24">
        <f>IF(F42&gt;0, G42/F42, IF(G42&gt;0, 1.0, 0.0))</f>
        <v/>
      </c>
      <c r="J42" s="25">
        <f>IF(F42&gt;0, 1.0 - (H42/F42), IF(G42=0, 1.0, 0.0))</f>
        <v/>
      </c>
      <c r="K42" s="26" t="inlineStr"/>
      <c r="L42" s="27" t="n">
        <v>0</v>
      </c>
      <c r="M42" s="28" t="n">
        <v>0</v>
      </c>
      <c r="N42" s="27" t="n">
        <v>2000</v>
      </c>
      <c r="O42" s="28" t="n">
        <v>2000</v>
      </c>
      <c r="P42" s="27" t="n">
        <v>0</v>
      </c>
      <c r="Q42" s="28" t="n">
        <v>0</v>
      </c>
      <c r="R42" s="22">
        <f>L42+N42+P42</f>
        <v/>
      </c>
      <c r="S42" s="23">
        <f>M42+O42+Q42</f>
        <v/>
      </c>
      <c r="T42" s="29">
        <f>S42-R42</f>
        <v/>
      </c>
      <c r="U42" s="30" t="inlineStr"/>
    </row>
    <row r="43" ht="20" customHeight="1">
      <c r="B43" s="20" t="inlineStr">
        <is>
          <t>COSTA RICA</t>
        </is>
      </c>
      <c r="C43" s="21" t="inlineStr">
        <is>
          <t>EUROFERTIL, S.A.</t>
        </is>
      </c>
      <c r="D43" s="20" t="inlineStr">
        <is>
          <t>CODIR1000</t>
        </is>
      </c>
      <c r="E43" s="21" t="inlineStr">
        <is>
          <t>CODIRESIST</t>
        </is>
      </c>
      <c r="F43" s="22" t="n">
        <v>0</v>
      </c>
      <c r="G43" s="23" t="n">
        <v>0</v>
      </c>
      <c r="H43" s="22">
        <f>ABS(G43-F43)</f>
        <v/>
      </c>
      <c r="I43" s="24">
        <f>IF(F43&gt;0, G43/F43, IF(G43&gt;0, 1.0, 0.0))</f>
        <v/>
      </c>
      <c r="J43" s="25">
        <f>IF(F43&gt;0, 1.0 - (H43/F43), IF(G43=0, 1.0, 0.0))</f>
        <v/>
      </c>
      <c r="K43" s="26" t="inlineStr"/>
      <c r="L43" s="27" t="n">
        <v>1000</v>
      </c>
      <c r="M43" s="28" t="n">
        <v>1000</v>
      </c>
      <c r="N43" s="27" t="n">
        <v>1000</v>
      </c>
      <c r="O43" s="28" t="n">
        <v>1000</v>
      </c>
      <c r="P43" s="27" t="n">
        <v>1000</v>
      </c>
      <c r="Q43" s="28" t="n">
        <v>1000</v>
      </c>
      <c r="R43" s="22">
        <f>L43+N43+P43</f>
        <v/>
      </c>
      <c r="S43" s="23">
        <f>M43+O43+Q43</f>
        <v/>
      </c>
      <c r="T43" s="29">
        <f>S43-R43</f>
        <v/>
      </c>
      <c r="U43" s="30" t="inlineStr"/>
    </row>
    <row r="44" ht="20" customHeight="1">
      <c r="B44" s="20" t="inlineStr">
        <is>
          <t>COSTA RICA</t>
        </is>
      </c>
      <c r="C44" s="21" t="inlineStr">
        <is>
          <t>EUROFERTIL, S.A.</t>
        </is>
      </c>
      <c r="D44" s="20" t="inlineStr">
        <is>
          <t>DECA0005</t>
        </is>
      </c>
      <c r="E44" s="21" t="inlineStr">
        <is>
          <t>DEFENS-CA-AE</t>
        </is>
      </c>
      <c r="F44" s="22" t="n">
        <v>0</v>
      </c>
      <c r="G44" s="23" t="n">
        <v>0</v>
      </c>
      <c r="H44" s="22">
        <f>ABS(G44-F44)</f>
        <v/>
      </c>
      <c r="I44" s="24">
        <f>IF(F44&gt;0, G44/F44, IF(G44&gt;0, 1.0, 0.0))</f>
        <v/>
      </c>
      <c r="J44" s="25">
        <f>IF(F44&gt;0, 1.0 - (H44/F44), IF(G44=0, 1.0, 0.0))</f>
        <v/>
      </c>
      <c r="K44" s="26" t="inlineStr"/>
      <c r="L44" s="27" t="n">
        <v>1100</v>
      </c>
      <c r="M44" s="28" t="n">
        <v>1100</v>
      </c>
      <c r="N44" s="27" t="n">
        <v>1100</v>
      </c>
      <c r="O44" s="28" t="n">
        <v>1100</v>
      </c>
      <c r="P44" s="27" t="n">
        <v>1100</v>
      </c>
      <c r="Q44" s="28" t="n">
        <v>1100</v>
      </c>
      <c r="R44" s="22">
        <f>L44+N44+P44</f>
        <v/>
      </c>
      <c r="S44" s="23">
        <f>M44+O44+Q44</f>
        <v/>
      </c>
      <c r="T44" s="29">
        <f>S44-R44</f>
        <v/>
      </c>
      <c r="U44" s="30" t="inlineStr"/>
    </row>
    <row r="45" ht="20" customHeight="1">
      <c r="B45" s="20" t="inlineStr">
        <is>
          <t>COSTA RICA</t>
        </is>
      </c>
      <c r="C45" s="21" t="inlineStr">
        <is>
          <t>EUROFERTIL, S.A.</t>
        </is>
      </c>
      <c r="D45" s="20" t="inlineStr">
        <is>
          <t>F-A1000</t>
        </is>
      </c>
      <c r="E45" s="21" t="inlineStr">
        <is>
          <t>FITOLIN AGRO</t>
        </is>
      </c>
      <c r="F45" s="22" t="n">
        <v>2000</v>
      </c>
      <c r="G45" s="23" t="n">
        <v>0</v>
      </c>
      <c r="H45" s="22">
        <f>ABS(G45-F45)</f>
        <v/>
      </c>
      <c r="I45" s="24">
        <f>IF(F45&gt;0, G45/F45, IF(G45&gt;0, 1.0, 0.0))</f>
        <v/>
      </c>
      <c r="J45" s="25">
        <f>IF(F45&gt;0, 1.0 - (H45/F45), IF(G45=0, 1.0, 0.0))</f>
        <v/>
      </c>
      <c r="K45" s="26" t="inlineStr"/>
      <c r="L45" s="27" t="n">
        <v>0</v>
      </c>
      <c r="M45" s="28" t="n">
        <v>0</v>
      </c>
      <c r="N45" s="27" t="n">
        <v>1000</v>
      </c>
      <c r="O45" s="28" t="n">
        <v>1000</v>
      </c>
      <c r="P45" s="27" t="n">
        <v>1000</v>
      </c>
      <c r="Q45" s="28" t="n">
        <v>1000</v>
      </c>
      <c r="R45" s="22">
        <f>L45+N45+P45</f>
        <v/>
      </c>
      <c r="S45" s="23">
        <f>M45+O45+Q45</f>
        <v/>
      </c>
      <c r="T45" s="29">
        <f>S45-R45</f>
        <v/>
      </c>
      <c r="U45" s="30" t="inlineStr"/>
    </row>
    <row r="46" ht="20" customHeight="1">
      <c r="B46" s="20" t="inlineStr">
        <is>
          <t>COSTA RICA</t>
        </is>
      </c>
      <c r="C46" s="21" t="inlineStr">
        <is>
          <t>EUROFERTIL, S.A.</t>
        </is>
      </c>
      <c r="D46" s="20" t="inlineStr">
        <is>
          <t>FLORCR1000</t>
        </is>
      </c>
      <c r="E46" s="21" t="inlineStr">
        <is>
          <t>FLORAMEC</t>
        </is>
      </c>
      <c r="F46" s="22" t="n">
        <v>0</v>
      </c>
      <c r="G46" s="23" t="n">
        <v>0</v>
      </c>
      <c r="H46" s="22">
        <f>ABS(G46-F46)</f>
        <v/>
      </c>
      <c r="I46" s="24">
        <f>IF(F46&gt;0, G46/F46, IF(G46&gt;0, 1.0, 0.0))</f>
        <v/>
      </c>
      <c r="J46" s="25">
        <f>IF(F46&gt;0, 1.0 - (H46/F46), IF(G46=0, 1.0, 0.0))</f>
        <v/>
      </c>
      <c r="K46" s="26" t="inlineStr"/>
      <c r="L46" s="27" t="n">
        <v>3000</v>
      </c>
      <c r="M46" s="28" t="n">
        <v>3000</v>
      </c>
      <c r="N46" s="27" t="n">
        <v>3000</v>
      </c>
      <c r="O46" s="28" t="n">
        <v>3000</v>
      </c>
      <c r="P46" s="27" t="n">
        <v>0</v>
      </c>
      <c r="Q46" s="28" t="n">
        <v>0</v>
      </c>
      <c r="R46" s="22">
        <f>L46+N46+P46</f>
        <v/>
      </c>
      <c r="S46" s="23">
        <f>M46+O46+Q46</f>
        <v/>
      </c>
      <c r="T46" s="29">
        <f>S46-R46</f>
        <v/>
      </c>
      <c r="U46" s="30" t="inlineStr"/>
    </row>
    <row r="47" ht="20" customHeight="1">
      <c r="B47" s="20" t="inlineStr">
        <is>
          <t>COSTA RICA</t>
        </is>
      </c>
      <c r="C47" s="21" t="inlineStr">
        <is>
          <t>EUROFERTIL, S.A.</t>
        </is>
      </c>
      <c r="D47" s="20" t="inlineStr">
        <is>
          <t>G1000</t>
        </is>
      </c>
      <c r="E47" s="21" t="inlineStr">
        <is>
          <t>TRANSLOCADOR</t>
        </is>
      </c>
      <c r="F47" s="22" t="n">
        <v>0</v>
      </c>
      <c r="G47" s="23" t="n">
        <v>0</v>
      </c>
      <c r="H47" s="22">
        <f>ABS(G47-F47)</f>
        <v/>
      </c>
      <c r="I47" s="24">
        <f>IF(F47&gt;0, G47/F47, IF(G47&gt;0, 1.0, 0.0))</f>
        <v/>
      </c>
      <c r="J47" s="25">
        <f>IF(F47&gt;0, 1.0 - (H47/F47), IF(G47=0, 1.0, 0.0))</f>
        <v/>
      </c>
      <c r="K47" s="26" t="inlineStr"/>
      <c r="L47" s="27" t="n">
        <v>1000</v>
      </c>
      <c r="M47" s="28" t="n">
        <v>1000</v>
      </c>
      <c r="N47" s="27" t="n">
        <v>0</v>
      </c>
      <c r="O47" s="28" t="n">
        <v>0</v>
      </c>
      <c r="P47" s="27" t="n">
        <v>500</v>
      </c>
      <c r="Q47" s="28" t="n">
        <v>500</v>
      </c>
      <c r="R47" s="22">
        <f>L47+N47+P47</f>
        <v/>
      </c>
      <c r="S47" s="23">
        <f>M47+O47+Q47</f>
        <v/>
      </c>
      <c r="T47" s="29">
        <f>S47-R47</f>
        <v/>
      </c>
      <c r="U47" s="30" t="inlineStr"/>
    </row>
    <row r="48" ht="20" customHeight="1">
      <c r="B48" s="20" t="inlineStr">
        <is>
          <t>COSTA RICA</t>
        </is>
      </c>
      <c r="C48" s="21" t="inlineStr">
        <is>
          <t>EUROFERTIL, S.A.</t>
        </is>
      </c>
      <c r="D48" s="20" t="inlineStr">
        <is>
          <t>PT1000</t>
        </is>
      </c>
      <c r="E48" s="21" t="inlineStr">
        <is>
          <t>POTASION PLUS</t>
        </is>
      </c>
      <c r="F48" s="22" t="n">
        <v>0</v>
      </c>
      <c r="G48" s="23" t="n">
        <v>0</v>
      </c>
      <c r="H48" s="22">
        <f>ABS(G48-F48)</f>
        <v/>
      </c>
      <c r="I48" s="24">
        <f>IF(F48&gt;0, G48/F48, IF(G48&gt;0, 1.0, 0.0))</f>
        <v/>
      </c>
      <c r="J48" s="25">
        <f>IF(F48&gt;0, 1.0 - (H48/F48), IF(G48=0, 1.0, 0.0))</f>
        <v/>
      </c>
      <c r="K48" s="26" t="inlineStr"/>
      <c r="L48" s="27" t="n">
        <v>4000</v>
      </c>
      <c r="M48" s="28" t="n">
        <v>4000</v>
      </c>
      <c r="N48" s="27" t="n">
        <v>0</v>
      </c>
      <c r="O48" s="28" t="n">
        <v>0</v>
      </c>
      <c r="P48" s="27" t="n">
        <v>2000</v>
      </c>
      <c r="Q48" s="28" t="n">
        <v>2000</v>
      </c>
      <c r="R48" s="22">
        <f>L48+N48+P48</f>
        <v/>
      </c>
      <c r="S48" s="23">
        <f>M48+O48+Q48</f>
        <v/>
      </c>
      <c r="T48" s="29">
        <f>S48-R48</f>
        <v/>
      </c>
      <c r="U48" s="30" t="inlineStr"/>
    </row>
    <row r="49" ht="20" customHeight="1">
      <c r="B49" s="20" t="inlineStr">
        <is>
          <t>COSTA RICA</t>
        </is>
      </c>
      <c r="C49" s="21" t="inlineStr">
        <is>
          <t>EUROFERTIL, S.A.</t>
        </is>
      </c>
      <c r="D49" s="20" t="inlineStr">
        <is>
          <t>SPCE20001</t>
        </is>
      </c>
      <c r="E49" s="21" t="inlineStr">
        <is>
          <t>SPRINTENE ZNMN 1L</t>
        </is>
      </c>
      <c r="F49" s="22" t="n">
        <v>0</v>
      </c>
      <c r="G49" s="23" t="n">
        <v>0</v>
      </c>
      <c r="H49" s="22">
        <f>ABS(G49-F49)</f>
        <v/>
      </c>
      <c r="I49" s="24">
        <f>IF(F49&gt;0, G49/F49, IF(G49&gt;0, 1.0, 0.0))</f>
        <v/>
      </c>
      <c r="J49" s="25">
        <f>IF(F49&gt;0, 1.0 - (H49/F49), IF(G49=0, 1.0, 0.0))</f>
        <v/>
      </c>
      <c r="K49" s="26" t="inlineStr"/>
      <c r="L49" s="27" t="n">
        <v>0</v>
      </c>
      <c r="M49" s="28" t="n">
        <v>0</v>
      </c>
      <c r="N49" s="27" t="n">
        <v>500</v>
      </c>
      <c r="O49" s="28" t="n">
        <v>500</v>
      </c>
      <c r="P49" s="27" t="n">
        <v>0</v>
      </c>
      <c r="Q49" s="28" t="n">
        <v>0</v>
      </c>
      <c r="R49" s="22">
        <f>L49+N49+P49</f>
        <v/>
      </c>
      <c r="S49" s="23">
        <f>M49+O49+Q49</f>
        <v/>
      </c>
      <c r="T49" s="29">
        <f>S49-R49</f>
        <v/>
      </c>
      <c r="U49" s="30" t="inlineStr"/>
    </row>
    <row r="50" ht="20" customHeight="1">
      <c r="B50" s="20" t="inlineStr">
        <is>
          <t>COSTA RICA</t>
        </is>
      </c>
      <c r="C50" s="21" t="inlineStr">
        <is>
          <t>EUROFERTIL, S.A.</t>
        </is>
      </c>
      <c r="D50" s="20" t="inlineStr">
        <is>
          <t>SPCE20005</t>
        </is>
      </c>
      <c r="E50" s="21" t="inlineStr">
        <is>
          <t>SPRINTENE ZNMN 5L</t>
        </is>
      </c>
      <c r="F50" s="22" t="n">
        <v>0</v>
      </c>
      <c r="G50" s="23" t="n">
        <v>0</v>
      </c>
      <c r="H50" s="22">
        <f>ABS(G50-F50)</f>
        <v/>
      </c>
      <c r="I50" s="24">
        <f>IF(F50&gt;0, G50/F50, IF(G50&gt;0, 1.0, 0.0))</f>
        <v/>
      </c>
      <c r="J50" s="25">
        <f>IF(F50&gt;0, 1.0 - (H50/F50), IF(G50=0, 1.0, 0.0))</f>
        <v/>
      </c>
      <c r="K50" s="26" t="inlineStr"/>
      <c r="L50" s="27" t="n">
        <v>400</v>
      </c>
      <c r="M50" s="28" t="n">
        <v>400</v>
      </c>
      <c r="N50" s="27" t="n">
        <v>400</v>
      </c>
      <c r="O50" s="28" t="n">
        <v>400</v>
      </c>
      <c r="P50" s="27" t="n">
        <v>0</v>
      </c>
      <c r="Q50" s="28" t="n">
        <v>0</v>
      </c>
      <c r="R50" s="22">
        <f>L50+N50+P50</f>
        <v/>
      </c>
      <c r="S50" s="23">
        <f>M50+O50+Q50</f>
        <v/>
      </c>
      <c r="T50" s="29">
        <f>S50-R50</f>
        <v/>
      </c>
      <c r="U50" s="30" t="inlineStr"/>
    </row>
    <row r="51" ht="20" customHeight="1">
      <c r="B51" s="20" t="inlineStr">
        <is>
          <t>COSTA RICA</t>
        </is>
      </c>
      <c r="C51" s="21" t="inlineStr">
        <is>
          <t>EUROFERTIL, S.A.</t>
        </is>
      </c>
      <c r="D51" s="20" t="inlineStr">
        <is>
          <t>SS0001</t>
        </is>
      </c>
      <c r="E51" s="21" t="inlineStr">
        <is>
          <t>SALWAX-CA, 1 KG</t>
        </is>
      </c>
      <c r="F51" s="22" t="n">
        <v>0</v>
      </c>
      <c r="G51" s="23" t="n">
        <v>0</v>
      </c>
      <c r="H51" s="22">
        <f>ABS(G51-F51)</f>
        <v/>
      </c>
      <c r="I51" s="24">
        <f>IF(F51&gt;0, G51/F51, IF(G51&gt;0, 1.0, 0.0))</f>
        <v/>
      </c>
      <c r="J51" s="25">
        <f>IF(F51&gt;0, 1.0 - (H51/F51), IF(G51=0, 1.0, 0.0))</f>
        <v/>
      </c>
      <c r="K51" s="26" t="inlineStr"/>
      <c r="L51" s="27" t="n">
        <v>1056</v>
      </c>
      <c r="M51" s="28" t="n">
        <v>1056</v>
      </c>
      <c r="N51" s="27" t="n">
        <v>0</v>
      </c>
      <c r="O51" s="28" t="n">
        <v>0</v>
      </c>
      <c r="P51" s="27" t="n">
        <v>400</v>
      </c>
      <c r="Q51" s="28" t="n">
        <v>400</v>
      </c>
      <c r="R51" s="22">
        <f>L51+N51+P51</f>
        <v/>
      </c>
      <c r="S51" s="23">
        <f>M51+O51+Q51</f>
        <v/>
      </c>
      <c r="T51" s="29">
        <f>S51-R51</f>
        <v/>
      </c>
      <c r="U51" s="30" t="inlineStr"/>
    </row>
    <row r="52" ht="20" customHeight="1">
      <c r="B52" s="20" t="inlineStr">
        <is>
          <t>COSTA RICA</t>
        </is>
      </c>
      <c r="C52" s="21" t="inlineStr">
        <is>
          <t>EUROFERTIL, S.A.</t>
        </is>
      </c>
      <c r="D52" s="20" t="inlineStr">
        <is>
          <t>SS0005</t>
        </is>
      </c>
      <c r="E52" s="21" t="inlineStr">
        <is>
          <t>SALWAX-CA, 5 KG</t>
        </is>
      </c>
      <c r="F52" s="22" t="n">
        <v>0</v>
      </c>
      <c r="G52" s="23" t="n">
        <v>0</v>
      </c>
      <c r="H52" s="22">
        <f>ABS(G52-F52)</f>
        <v/>
      </c>
      <c r="I52" s="24">
        <f>IF(F52&gt;0, G52/F52, IF(G52&gt;0, 1.0, 0.0))</f>
        <v/>
      </c>
      <c r="J52" s="25">
        <f>IF(F52&gt;0, 1.0 - (H52/F52), IF(G52=0, 1.0, 0.0))</f>
        <v/>
      </c>
      <c r="K52" s="26" t="inlineStr"/>
      <c r="L52" s="27" t="n">
        <v>1000</v>
      </c>
      <c r="M52" s="28" t="n">
        <v>1000</v>
      </c>
      <c r="N52" s="27" t="n">
        <v>0</v>
      </c>
      <c r="O52" s="28" t="n">
        <v>0</v>
      </c>
      <c r="P52" s="27" t="n">
        <v>400</v>
      </c>
      <c r="Q52" s="28" t="n">
        <v>400</v>
      </c>
      <c r="R52" s="22">
        <f>L52+N52+P52</f>
        <v/>
      </c>
      <c r="S52" s="23">
        <f>M52+O52+Q52</f>
        <v/>
      </c>
      <c r="T52" s="29">
        <f>S52-R52</f>
        <v/>
      </c>
      <c r="U52" s="30" t="inlineStr"/>
    </row>
    <row r="53" ht="20" customHeight="1">
      <c r="B53" s="20" t="inlineStr">
        <is>
          <t>COSTA RICA</t>
        </is>
      </c>
      <c r="C53" s="21" t="inlineStr">
        <is>
          <t>EUROFERTIL, S.A.</t>
        </is>
      </c>
      <c r="D53" s="20" t="inlineStr">
        <is>
          <t>SS0020</t>
        </is>
      </c>
      <c r="E53" s="21" t="inlineStr">
        <is>
          <t>SAL WAX MAX</t>
        </is>
      </c>
      <c r="F53" s="22" t="n">
        <v>0</v>
      </c>
      <c r="G53" s="23" t="n">
        <v>0</v>
      </c>
      <c r="H53" s="22">
        <f>ABS(G53-F53)</f>
        <v/>
      </c>
      <c r="I53" s="24">
        <f>IF(F53&gt;0, G53/F53, IF(G53&gt;0, 1.0, 0.0))</f>
        <v/>
      </c>
      <c r="J53" s="25">
        <f>IF(F53&gt;0, 1.0 - (H53/F53), IF(G53=0, 1.0, 0.0))</f>
        <v/>
      </c>
      <c r="K53" s="26" t="inlineStr"/>
      <c r="L53" s="27" t="n">
        <v>2760</v>
      </c>
      <c r="M53" s="28" t="n">
        <v>2760</v>
      </c>
      <c r="N53" s="27" t="n">
        <v>0</v>
      </c>
      <c r="O53" s="28" t="n">
        <v>0</v>
      </c>
      <c r="P53" s="27" t="n">
        <v>800</v>
      </c>
      <c r="Q53" s="28" t="n">
        <v>800</v>
      </c>
      <c r="R53" s="22">
        <f>L53+N53+P53</f>
        <v/>
      </c>
      <c r="S53" s="23">
        <f>M53+O53+Q53</f>
        <v/>
      </c>
      <c r="T53" s="29">
        <f>S53-R53</f>
        <v/>
      </c>
      <c r="U53" s="30" t="inlineStr"/>
    </row>
    <row r="54" ht="20" customHeight="1">
      <c r="B54" s="20" t="inlineStr">
        <is>
          <t>ESPAÑA</t>
        </is>
      </c>
      <c r="C54" s="21" t="inlineStr">
        <is>
          <t xml:space="preserve">EUROFERTIL, S.A.    </t>
        </is>
      </c>
      <c r="D54" s="20" t="inlineStr">
        <is>
          <t>AGXCR1000</t>
        </is>
      </c>
      <c r="E54" s="21" t="inlineStr">
        <is>
          <t>AGROXILATO-K, 1000 L</t>
        </is>
      </c>
      <c r="F54" s="22" t="n">
        <v>0</v>
      </c>
      <c r="G54" s="23" t="n">
        <v>3000</v>
      </c>
      <c r="H54" s="22">
        <f>ABS(G54-F54)</f>
        <v/>
      </c>
      <c r="I54" s="24">
        <f>IF(F54&gt;0, G54/F54, IF(G54&gt;0, 1.0, 0.0))</f>
        <v/>
      </c>
      <c r="J54" s="25">
        <f>IF(F54&gt;0, 1.0 - (H54/F54), IF(G54=0, 1.0, 0.0))</f>
        <v/>
      </c>
      <c r="K54" s="26" t="inlineStr">
        <is>
          <t>Pedido extra no previsto</t>
        </is>
      </c>
      <c r="L54" s="27" t="n">
        <v>0</v>
      </c>
      <c r="M54" s="28" t="n">
        <v>0</v>
      </c>
      <c r="N54" s="27" t="n">
        <v>0</v>
      </c>
      <c r="O54" s="28" t="n">
        <v>0</v>
      </c>
      <c r="P54" s="27" t="n">
        <v>0</v>
      </c>
      <c r="Q54" s="28" t="n">
        <v>0</v>
      </c>
      <c r="R54" s="22">
        <f>L54+N54+P54</f>
        <v/>
      </c>
      <c r="S54" s="23">
        <f>M54+O54+Q54</f>
        <v/>
      </c>
      <c r="T54" s="29">
        <f>S54-R54</f>
        <v/>
      </c>
      <c r="U54" s="30" t="inlineStr"/>
    </row>
    <row r="55" ht="20" customHeight="1">
      <c r="B55" s="20" t="inlineStr">
        <is>
          <t>ESPAÑA</t>
        </is>
      </c>
      <c r="C55" s="21" t="inlineStr">
        <is>
          <t xml:space="preserve">EUROFERTIL, S.A.    </t>
        </is>
      </c>
      <c r="D55" s="20" t="inlineStr">
        <is>
          <t>AN0005</t>
        </is>
      </c>
      <c r="E55" s="21" t="inlineStr">
        <is>
          <t>ALCAPLANT, 5 KG</t>
        </is>
      </c>
      <c r="F55" s="22" t="n">
        <v>0</v>
      </c>
      <c r="G55" s="23" t="n">
        <v>3300</v>
      </c>
      <c r="H55" s="22">
        <f>ABS(G55-F55)</f>
        <v/>
      </c>
      <c r="I55" s="24">
        <f>IF(F55&gt;0, G55/F55, IF(G55&gt;0, 1.0, 0.0))</f>
        <v/>
      </c>
      <c r="J55" s="25">
        <f>IF(F55&gt;0, 1.0 - (H55/F55), IF(G55=0, 1.0, 0.0))</f>
        <v/>
      </c>
      <c r="K55" s="26" t="inlineStr">
        <is>
          <t>Pedido extra no previsto</t>
        </is>
      </c>
      <c r="L55" s="27" t="n">
        <v>0</v>
      </c>
      <c r="M55" s="28" t="n">
        <v>0</v>
      </c>
      <c r="N55" s="27" t="n">
        <v>0</v>
      </c>
      <c r="O55" s="28" t="n">
        <v>0</v>
      </c>
      <c r="P55" s="27" t="n">
        <v>0</v>
      </c>
      <c r="Q55" s="28" t="n">
        <v>0</v>
      </c>
      <c r="R55" s="22">
        <f>L55+N55+P55</f>
        <v/>
      </c>
      <c r="S55" s="23">
        <f>M55+O55+Q55</f>
        <v/>
      </c>
      <c r="T55" s="29">
        <f>S55-R55</f>
        <v/>
      </c>
      <c r="U55" s="30" t="inlineStr"/>
    </row>
    <row r="56" ht="20" customHeight="1">
      <c r="B56" s="20" t="inlineStr">
        <is>
          <t>ESPAÑA</t>
        </is>
      </c>
      <c r="C56" s="21" t="inlineStr">
        <is>
          <t xml:space="preserve">EUROFERTIL, S.A.    </t>
        </is>
      </c>
      <c r="D56" s="20" t="inlineStr">
        <is>
          <t>AN0020</t>
        </is>
      </c>
      <c r="E56" s="21" t="inlineStr">
        <is>
          <t>ALCAPLANT, 20 KG</t>
        </is>
      </c>
      <c r="F56" s="22" t="n">
        <v>0</v>
      </c>
      <c r="G56" s="23" t="n">
        <v>4400</v>
      </c>
      <c r="H56" s="22">
        <f>ABS(G56-F56)</f>
        <v/>
      </c>
      <c r="I56" s="24">
        <f>IF(F56&gt;0, G56/F56, IF(G56&gt;0, 1.0, 0.0))</f>
        <v/>
      </c>
      <c r="J56" s="25">
        <f>IF(F56&gt;0, 1.0 - (H56/F56), IF(G56=0, 1.0, 0.0))</f>
        <v/>
      </c>
      <c r="K56" s="26" t="inlineStr">
        <is>
          <t>Pedido extra no previsto</t>
        </is>
      </c>
      <c r="L56" s="27" t="n">
        <v>0</v>
      </c>
      <c r="M56" s="28" t="n">
        <v>0</v>
      </c>
      <c r="N56" s="27" t="n">
        <v>0</v>
      </c>
      <c r="O56" s="28" t="n">
        <v>0</v>
      </c>
      <c r="P56" s="27" t="n">
        <v>0</v>
      </c>
      <c r="Q56" s="28" t="n">
        <v>0</v>
      </c>
      <c r="R56" s="22">
        <f>L56+N56+P56</f>
        <v/>
      </c>
      <c r="S56" s="23">
        <f>M56+O56+Q56</f>
        <v/>
      </c>
      <c r="T56" s="29">
        <f>S56-R56</f>
        <v/>
      </c>
      <c r="U56" s="30" t="inlineStr"/>
    </row>
    <row r="57" ht="20" customHeight="1">
      <c r="B57" s="20" t="inlineStr">
        <is>
          <t>ESPAÑA</t>
        </is>
      </c>
      <c r="C57" s="21" t="inlineStr">
        <is>
          <t xml:space="preserve">EUROFERTIL, S.A.    </t>
        </is>
      </c>
      <c r="D57" s="20" t="inlineStr">
        <is>
          <t>B1000</t>
        </is>
      </c>
      <c r="E57" s="21" t="inlineStr">
        <is>
          <t>FORTALEZA, 1000 L</t>
        </is>
      </c>
      <c r="F57" s="22" t="n">
        <v>0</v>
      </c>
      <c r="G57" s="23" t="n">
        <v>2000</v>
      </c>
      <c r="H57" s="22">
        <f>ABS(G57-F57)</f>
        <v/>
      </c>
      <c r="I57" s="24">
        <f>IF(F57&gt;0, G57/F57, IF(G57&gt;0, 1.0, 0.0))</f>
        <v/>
      </c>
      <c r="J57" s="25">
        <f>IF(F57&gt;0, 1.0 - (H57/F57), IF(G57=0, 1.0, 0.0))</f>
        <v/>
      </c>
      <c r="K57" s="26" t="inlineStr">
        <is>
          <t>Pedido extra no previsto</t>
        </is>
      </c>
      <c r="L57" s="27" t="n">
        <v>0</v>
      </c>
      <c r="M57" s="28" t="n">
        <v>0</v>
      </c>
      <c r="N57" s="27" t="n">
        <v>0</v>
      </c>
      <c r="O57" s="28" t="n">
        <v>0</v>
      </c>
      <c r="P57" s="27" t="n">
        <v>0</v>
      </c>
      <c r="Q57" s="28" t="n">
        <v>0</v>
      </c>
      <c r="R57" s="22">
        <f>L57+N57+P57</f>
        <v/>
      </c>
      <c r="S57" s="23">
        <f>M57+O57+Q57</f>
        <v/>
      </c>
      <c r="T57" s="29">
        <f>S57-R57</f>
        <v/>
      </c>
      <c r="U57" s="30" t="inlineStr"/>
    </row>
    <row r="58" ht="20" customHeight="1">
      <c r="B58" s="20" t="inlineStr">
        <is>
          <t>ESPAÑA</t>
        </is>
      </c>
      <c r="C58" s="21" t="inlineStr">
        <is>
          <t xml:space="preserve">EUROFERTIL, S.A.    </t>
        </is>
      </c>
      <c r="D58" s="20" t="inlineStr">
        <is>
          <t>C-CU1000</t>
        </is>
      </c>
      <c r="E58" s="21" t="inlineStr">
        <is>
          <t>CODICOBRE, 1000 L</t>
        </is>
      </c>
      <c r="F58" s="22" t="n">
        <v>0</v>
      </c>
      <c r="G58" s="23" t="n">
        <v>1000</v>
      </c>
      <c r="H58" s="22">
        <f>ABS(G58-F58)</f>
        <v/>
      </c>
      <c r="I58" s="24">
        <f>IF(F58&gt;0, G58/F58, IF(G58&gt;0, 1.0, 0.0))</f>
        <v/>
      </c>
      <c r="J58" s="25">
        <f>IF(F58&gt;0, 1.0 - (H58/F58), IF(G58=0, 1.0, 0.0))</f>
        <v/>
      </c>
      <c r="K58" s="26" t="inlineStr">
        <is>
          <t>Pedido extra no previsto</t>
        </is>
      </c>
      <c r="L58" s="27" t="n">
        <v>0</v>
      </c>
      <c r="M58" s="28" t="n">
        <v>0</v>
      </c>
      <c r="N58" s="27" t="n">
        <v>0</v>
      </c>
      <c r="O58" s="28" t="n">
        <v>0</v>
      </c>
      <c r="P58" s="27" t="n">
        <v>0</v>
      </c>
      <c r="Q58" s="28" t="n">
        <v>0</v>
      </c>
      <c r="R58" s="22">
        <f>L58+N58+P58</f>
        <v/>
      </c>
      <c r="S58" s="23">
        <f>M58+O58+Q58</f>
        <v/>
      </c>
      <c r="T58" s="29">
        <f>S58-R58</f>
        <v/>
      </c>
      <c r="U58" s="30" t="inlineStr"/>
    </row>
    <row r="59" ht="20" customHeight="1">
      <c r="B59" s="20" t="inlineStr">
        <is>
          <t>ESPAÑA</t>
        </is>
      </c>
      <c r="C59" s="21" t="inlineStr">
        <is>
          <t xml:space="preserve">EUROFERTIL, S.A.    </t>
        </is>
      </c>
      <c r="D59" s="20" t="inlineStr">
        <is>
          <t>CODIR1000</t>
        </is>
      </c>
      <c r="E59" s="21" t="inlineStr">
        <is>
          <t>CODIRESIST, 1000 L</t>
        </is>
      </c>
      <c r="F59" s="22" t="n">
        <v>0</v>
      </c>
      <c r="G59" s="23" t="n">
        <v>1000</v>
      </c>
      <c r="H59" s="22">
        <f>ABS(G59-F59)</f>
        <v/>
      </c>
      <c r="I59" s="24">
        <f>IF(F59&gt;0, G59/F59, IF(G59&gt;0, 1.0, 0.0))</f>
        <v/>
      </c>
      <c r="J59" s="25">
        <f>IF(F59&gt;0, 1.0 - (H59/F59), IF(G59=0, 1.0, 0.0))</f>
        <v/>
      </c>
      <c r="K59" s="26" t="inlineStr">
        <is>
          <t>Pedido extra no previsto</t>
        </is>
      </c>
      <c r="L59" s="27" t="n">
        <v>0</v>
      </c>
      <c r="M59" s="28" t="n">
        <v>0</v>
      </c>
      <c r="N59" s="27" t="n">
        <v>0</v>
      </c>
      <c r="O59" s="28" t="n">
        <v>0</v>
      </c>
      <c r="P59" s="27" t="n">
        <v>0</v>
      </c>
      <c r="Q59" s="28" t="n">
        <v>0</v>
      </c>
      <c r="R59" s="22">
        <f>L59+N59+P59</f>
        <v/>
      </c>
      <c r="S59" s="23">
        <f>M59+O59+Q59</f>
        <v/>
      </c>
      <c r="T59" s="29">
        <f>S59-R59</f>
        <v/>
      </c>
      <c r="U59" s="30" t="inlineStr"/>
    </row>
    <row r="60" ht="20" customHeight="1">
      <c r="B60" s="20" t="inlineStr">
        <is>
          <t>ESPAÑA</t>
        </is>
      </c>
      <c r="C60" s="21" t="inlineStr">
        <is>
          <t xml:space="preserve">EUROFERTIL, S.A.    </t>
        </is>
      </c>
      <c r="D60" s="20" t="inlineStr">
        <is>
          <t>DECA0005</t>
        </is>
      </c>
      <c r="E60" s="21" t="inlineStr">
        <is>
          <t>DEFENS-CA-AE, 5 KG</t>
        </is>
      </c>
      <c r="F60" s="22" t="n">
        <v>0</v>
      </c>
      <c r="G60" s="23" t="n">
        <v>750</v>
      </c>
      <c r="H60" s="22">
        <f>ABS(G60-F60)</f>
        <v/>
      </c>
      <c r="I60" s="24">
        <f>IF(F60&gt;0, G60/F60, IF(G60&gt;0, 1.0, 0.0))</f>
        <v/>
      </c>
      <c r="J60" s="25">
        <f>IF(F60&gt;0, 1.0 - (H60/F60), IF(G60=0, 1.0, 0.0))</f>
        <v/>
      </c>
      <c r="K60" s="26" t="inlineStr">
        <is>
          <t>Pedido extra no previsto</t>
        </is>
      </c>
      <c r="L60" s="27" t="n">
        <v>0</v>
      </c>
      <c r="M60" s="28" t="n">
        <v>0</v>
      </c>
      <c r="N60" s="27" t="n">
        <v>0</v>
      </c>
      <c r="O60" s="28" t="n">
        <v>0</v>
      </c>
      <c r="P60" s="27" t="n">
        <v>0</v>
      </c>
      <c r="Q60" s="28" t="n">
        <v>0</v>
      </c>
      <c r="R60" s="22">
        <f>L60+N60+P60</f>
        <v/>
      </c>
      <c r="S60" s="23">
        <f>M60+O60+Q60</f>
        <v/>
      </c>
      <c r="T60" s="29">
        <f>S60-R60</f>
        <v/>
      </c>
      <c r="U60" s="30" t="inlineStr"/>
    </row>
    <row r="61" ht="20" customHeight="1">
      <c r="B61" s="20" t="inlineStr">
        <is>
          <t>ESPAÑA</t>
        </is>
      </c>
      <c r="C61" s="21" t="inlineStr">
        <is>
          <t xml:space="preserve">EUROFERTIL, S.A.    </t>
        </is>
      </c>
      <c r="D61" s="20" t="inlineStr">
        <is>
          <t>F-A1000</t>
        </is>
      </c>
      <c r="E61" s="21" t="inlineStr">
        <is>
          <t xml:space="preserve">FITOLIN AGRO, 1000 L </t>
        </is>
      </c>
      <c r="F61" s="22" t="n">
        <v>0</v>
      </c>
      <c r="G61" s="23" t="n">
        <v>1000</v>
      </c>
      <c r="H61" s="22">
        <f>ABS(G61-F61)</f>
        <v/>
      </c>
      <c r="I61" s="24">
        <f>IF(F61&gt;0, G61/F61, IF(G61&gt;0, 1.0, 0.0))</f>
        <v/>
      </c>
      <c r="J61" s="25">
        <f>IF(F61&gt;0, 1.0 - (H61/F61), IF(G61=0, 1.0, 0.0))</f>
        <v/>
      </c>
      <c r="K61" s="26" t="inlineStr">
        <is>
          <t>Pedido extra no previsto</t>
        </is>
      </c>
      <c r="L61" s="27" t="n">
        <v>0</v>
      </c>
      <c r="M61" s="28" t="n">
        <v>0</v>
      </c>
      <c r="N61" s="27" t="n">
        <v>0</v>
      </c>
      <c r="O61" s="28" t="n">
        <v>0</v>
      </c>
      <c r="P61" s="27" t="n">
        <v>0</v>
      </c>
      <c r="Q61" s="28" t="n">
        <v>0</v>
      </c>
      <c r="R61" s="22">
        <f>L61+N61+P61</f>
        <v/>
      </c>
      <c r="S61" s="23">
        <f>M61+O61+Q61</f>
        <v/>
      </c>
      <c r="T61" s="29">
        <f>S61-R61</f>
        <v/>
      </c>
      <c r="U61" s="30" t="inlineStr"/>
    </row>
    <row r="62" ht="20" customHeight="1">
      <c r="B62" s="20" t="inlineStr">
        <is>
          <t>ESPAÑA</t>
        </is>
      </c>
      <c r="C62" s="21" t="inlineStr">
        <is>
          <t xml:space="preserve">EUROFERTIL, S.A.    </t>
        </is>
      </c>
      <c r="D62" s="20" t="inlineStr">
        <is>
          <t>NB1000</t>
        </is>
      </c>
      <c r="E62" s="21" t="inlineStr">
        <is>
          <t>NITROBALANCE, 1000 L</t>
        </is>
      </c>
      <c r="F62" s="22" t="n">
        <v>0</v>
      </c>
      <c r="G62" s="23" t="n">
        <v>2000</v>
      </c>
      <c r="H62" s="22">
        <f>ABS(G62-F62)</f>
        <v/>
      </c>
      <c r="I62" s="24">
        <f>IF(F62&gt;0, G62/F62, IF(G62&gt;0, 1.0, 0.0))</f>
        <v/>
      </c>
      <c r="J62" s="25">
        <f>IF(F62&gt;0, 1.0 - (H62/F62), IF(G62=0, 1.0, 0.0))</f>
        <v/>
      </c>
      <c r="K62" s="26" t="inlineStr">
        <is>
          <t>Pedido extra no previsto</t>
        </is>
      </c>
      <c r="L62" s="27" t="n">
        <v>0</v>
      </c>
      <c r="M62" s="28" t="n">
        <v>0</v>
      </c>
      <c r="N62" s="27" t="n">
        <v>0</v>
      </c>
      <c r="O62" s="28" t="n">
        <v>0</v>
      </c>
      <c r="P62" s="27" t="n">
        <v>0</v>
      </c>
      <c r="Q62" s="28" t="n">
        <v>0</v>
      </c>
      <c r="R62" s="22">
        <f>L62+N62+P62</f>
        <v/>
      </c>
      <c r="S62" s="23">
        <f>M62+O62+Q62</f>
        <v/>
      </c>
      <c r="T62" s="29">
        <f>S62-R62</f>
        <v/>
      </c>
      <c r="U62" s="30" t="inlineStr"/>
    </row>
    <row r="63" ht="20" customHeight="1">
      <c r="B63" s="20" t="inlineStr">
        <is>
          <t>ESPAÑA</t>
        </is>
      </c>
      <c r="C63" s="21" t="inlineStr">
        <is>
          <t xml:space="preserve">EUROFERTIL, S.A.    </t>
        </is>
      </c>
      <c r="D63" s="20" t="inlineStr">
        <is>
          <t>SS0020</t>
        </is>
      </c>
      <c r="E63" s="21" t="inlineStr">
        <is>
          <t>SAL WAX MAX, 20 KG</t>
        </is>
      </c>
      <c r="F63" s="22" t="n">
        <v>0</v>
      </c>
      <c r="G63" s="23" t="n">
        <v>1600</v>
      </c>
      <c r="H63" s="22">
        <f>ABS(G63-F63)</f>
        <v/>
      </c>
      <c r="I63" s="24">
        <f>IF(F63&gt;0, G63/F63, IF(G63&gt;0, 1.0, 0.0))</f>
        <v/>
      </c>
      <c r="J63" s="25">
        <f>IF(F63&gt;0, 1.0 - (H63/F63), IF(G63=0, 1.0, 0.0))</f>
        <v/>
      </c>
      <c r="K63" s="26" t="inlineStr">
        <is>
          <t>Pedido extra no previsto</t>
        </is>
      </c>
      <c r="L63" s="27" t="n">
        <v>0</v>
      </c>
      <c r="M63" s="28" t="n">
        <v>0</v>
      </c>
      <c r="N63" s="27" t="n">
        <v>0</v>
      </c>
      <c r="O63" s="28" t="n">
        <v>0</v>
      </c>
      <c r="P63" s="27" t="n">
        <v>0</v>
      </c>
      <c r="Q63" s="28" t="n">
        <v>0</v>
      </c>
      <c r="R63" s="22">
        <f>L63+N63+P63</f>
        <v/>
      </c>
      <c r="S63" s="23">
        <f>M63+O63+Q63</f>
        <v/>
      </c>
      <c r="T63" s="29">
        <f>S63-R63</f>
        <v/>
      </c>
      <c r="U63" s="30" t="inlineStr"/>
    </row>
    <row r="64" ht="20" customHeight="1">
      <c r="B64" s="20" t="inlineStr">
        <is>
          <t>PERÚ</t>
        </is>
      </c>
      <c r="C64" s="21" t="inlineStr">
        <is>
          <t>HORTIFRUT - PERU, S.A.C.</t>
        </is>
      </c>
      <c r="D64" s="20" t="inlineStr">
        <is>
          <t>AN0020</t>
        </is>
      </c>
      <c r="E64" s="21" t="inlineStr">
        <is>
          <t>ALCAPLANT NEW, 20 KG</t>
        </is>
      </c>
      <c r="F64" s="22" t="n">
        <v>0</v>
      </c>
      <c r="G64" s="23" t="n">
        <v>1100</v>
      </c>
      <c r="H64" s="22">
        <f>ABS(G64-F64)</f>
        <v/>
      </c>
      <c r="I64" s="24">
        <f>IF(F64&gt;0, G64/F64, IF(G64&gt;0, 1.0, 0.0))</f>
        <v/>
      </c>
      <c r="J64" s="25">
        <f>IF(F64&gt;0, 1.0 - (H64/F64), IF(G64=0, 1.0, 0.0))</f>
        <v/>
      </c>
      <c r="K64" s="26" t="inlineStr">
        <is>
          <t>Pedido extra no previsto</t>
        </is>
      </c>
      <c r="L64" s="27" t="n">
        <v>0</v>
      </c>
      <c r="M64" s="28" t="n">
        <v>0</v>
      </c>
      <c r="N64" s="27" t="n">
        <v>0</v>
      </c>
      <c r="O64" s="28" t="n">
        <v>0</v>
      </c>
      <c r="P64" s="27" t="n">
        <v>0</v>
      </c>
      <c r="Q64" s="28" t="n">
        <v>0</v>
      </c>
      <c r="R64" s="22">
        <f>L64+N64+P64</f>
        <v/>
      </c>
      <c r="S64" s="23">
        <f>M64+O64+Q64</f>
        <v/>
      </c>
      <c r="T64" s="29">
        <f>S64-R64</f>
        <v/>
      </c>
      <c r="U64" s="30" t="inlineStr"/>
    </row>
    <row r="65" ht="20" customHeight="1">
      <c r="B65" s="20" t="inlineStr">
        <is>
          <t>DOMINICANA, REPÚBLICA</t>
        </is>
      </c>
      <c r="C65" s="21" t="inlineStr">
        <is>
          <t>JUAN JIMENEZ, SRL</t>
        </is>
      </c>
      <c r="D65" s="20" t="inlineStr">
        <is>
          <t>A-50(2)0001</t>
        </is>
      </c>
      <c r="E65" s="21" t="inlineStr">
        <is>
          <t>CODIORGAN A-50</t>
        </is>
      </c>
      <c r="F65" s="22" t="n">
        <v>0</v>
      </c>
      <c r="G65" s="23" t="n">
        <v>0</v>
      </c>
      <c r="H65" s="22">
        <f>ABS(G65-F65)</f>
        <v/>
      </c>
      <c r="I65" s="24">
        <f>IF(F65&gt;0, G65/F65, IF(G65&gt;0, 1.0, 0.0))</f>
        <v/>
      </c>
      <c r="J65" s="25">
        <f>IF(F65&gt;0, 1.0 - (H65/F65), IF(G65=0, 1.0, 0.0))</f>
        <v/>
      </c>
      <c r="K65" s="26" t="inlineStr"/>
      <c r="L65" s="27" t="n">
        <v>0</v>
      </c>
      <c r="M65" s="28" t="n">
        <v>0</v>
      </c>
      <c r="N65" s="27" t="n">
        <v>800</v>
      </c>
      <c r="O65" s="28" t="n">
        <v>800</v>
      </c>
      <c r="P65" s="27" t="n">
        <v>0</v>
      </c>
      <c r="Q65" s="28" t="n">
        <v>0</v>
      </c>
      <c r="R65" s="22">
        <f>L65+N65+P65</f>
        <v/>
      </c>
      <c r="S65" s="23">
        <f>M65+O65+Q65</f>
        <v/>
      </c>
      <c r="T65" s="29">
        <f>S65-R65</f>
        <v/>
      </c>
      <c r="U65" s="30" t="inlineStr"/>
    </row>
    <row r="66" ht="20" customHeight="1">
      <c r="B66" s="20" t="inlineStr">
        <is>
          <t>DOMINICANA, REPÚBLICA</t>
        </is>
      </c>
      <c r="C66" s="21" t="inlineStr">
        <is>
          <t>JUAN JIMENEZ, SRL</t>
        </is>
      </c>
      <c r="D66" s="20" t="inlineStr">
        <is>
          <t>AGXK0001</t>
        </is>
      </c>
      <c r="E66" s="21" t="inlineStr">
        <is>
          <t>AGROXILATO-K</t>
        </is>
      </c>
      <c r="F66" s="22" t="n">
        <v>0</v>
      </c>
      <c r="G66" s="23" t="n">
        <v>0</v>
      </c>
      <c r="H66" s="22">
        <f>ABS(G66-F66)</f>
        <v/>
      </c>
      <c r="I66" s="24">
        <f>IF(F66&gt;0, G66/F66, IF(G66&gt;0, 1.0, 0.0))</f>
        <v/>
      </c>
      <c r="J66" s="25">
        <f>IF(F66&gt;0, 1.0 - (H66/F66), IF(G66=0, 1.0, 0.0))</f>
        <v/>
      </c>
      <c r="K66" s="26" t="inlineStr"/>
      <c r="L66" s="27" t="n">
        <v>0</v>
      </c>
      <c r="M66" s="28" t="n">
        <v>0</v>
      </c>
      <c r="N66" s="27" t="n">
        <v>1000</v>
      </c>
      <c r="O66" s="28" t="n">
        <v>1000</v>
      </c>
      <c r="P66" s="27" t="n">
        <v>0</v>
      </c>
      <c r="Q66" s="28" t="n">
        <v>0</v>
      </c>
      <c r="R66" s="22">
        <f>L66+N66+P66</f>
        <v/>
      </c>
      <c r="S66" s="23">
        <f>M66+O66+Q66</f>
        <v/>
      </c>
      <c r="T66" s="29">
        <f>S66-R66</f>
        <v/>
      </c>
      <c r="U66" s="30" t="inlineStr"/>
    </row>
    <row r="67" ht="20" customHeight="1">
      <c r="B67" s="20" t="inlineStr">
        <is>
          <t>DOMINICANA, REPÚBLICA</t>
        </is>
      </c>
      <c r="C67" s="21" t="inlineStr">
        <is>
          <t>JUAN JIMENEZ, SRL</t>
        </is>
      </c>
      <c r="D67" s="20" t="inlineStr">
        <is>
          <t>AN0005</t>
        </is>
      </c>
      <c r="E67" s="21" t="inlineStr">
        <is>
          <t>ALCAPLANT NEW</t>
        </is>
      </c>
      <c r="F67" s="22" t="n">
        <v>0</v>
      </c>
      <c r="G67" s="23" t="n">
        <v>0</v>
      </c>
      <c r="H67" s="22">
        <f>ABS(G67-F67)</f>
        <v/>
      </c>
      <c r="I67" s="24">
        <f>IF(F67&gt;0, G67/F67, IF(G67&gt;0, 1.0, 0.0))</f>
        <v/>
      </c>
      <c r="J67" s="25">
        <f>IF(F67&gt;0, 1.0 - (H67/F67), IF(G67=0, 1.0, 0.0))</f>
        <v/>
      </c>
      <c r="K67" s="26" t="inlineStr"/>
      <c r="L67" s="27" t="n">
        <v>0</v>
      </c>
      <c r="M67" s="28" t="n">
        <v>0</v>
      </c>
      <c r="N67" s="27" t="n">
        <v>3300</v>
      </c>
      <c r="O67" s="28" t="n">
        <v>3300</v>
      </c>
      <c r="P67" s="27" t="n">
        <v>0</v>
      </c>
      <c r="Q67" s="28" t="n">
        <v>0</v>
      </c>
      <c r="R67" s="22">
        <f>L67+N67+P67</f>
        <v/>
      </c>
      <c r="S67" s="23">
        <f>M67+O67+Q67</f>
        <v/>
      </c>
      <c r="T67" s="29">
        <f>S67-R67</f>
        <v/>
      </c>
      <c r="U67" s="30" t="inlineStr"/>
    </row>
    <row r="68" ht="20" customHeight="1">
      <c r="B68" s="20" t="inlineStr">
        <is>
          <t>DOMINICANA, REPÚBLICA</t>
        </is>
      </c>
      <c r="C68" s="21" t="inlineStr">
        <is>
          <t>JUAN JIMENEZ, SRL</t>
        </is>
      </c>
      <c r="D68" s="20" t="inlineStr">
        <is>
          <t>B0001</t>
        </is>
      </c>
      <c r="E68" s="21" t="inlineStr">
        <is>
          <t>BOROCAL</t>
        </is>
      </c>
      <c r="F68" s="22" t="n">
        <v>0</v>
      </c>
      <c r="G68" s="23" t="n">
        <v>0</v>
      </c>
      <c r="H68" s="22">
        <f>ABS(G68-F68)</f>
        <v/>
      </c>
      <c r="I68" s="24">
        <f>IF(F68&gt;0, G68/F68, IF(G68&gt;0, 1.0, 0.0))</f>
        <v/>
      </c>
      <c r="J68" s="25">
        <f>IF(F68&gt;0, 1.0 - (H68/F68), IF(G68=0, 1.0, 0.0))</f>
        <v/>
      </c>
      <c r="K68" s="26" t="inlineStr"/>
      <c r="L68" s="27" t="n">
        <v>0</v>
      </c>
      <c r="M68" s="28" t="n">
        <v>0</v>
      </c>
      <c r="N68" s="27" t="n">
        <v>1000</v>
      </c>
      <c r="O68" s="28" t="n">
        <v>1000</v>
      </c>
      <c r="P68" s="27" t="n">
        <v>0</v>
      </c>
      <c r="Q68" s="28" t="n">
        <v>0</v>
      </c>
      <c r="R68" s="22">
        <f>L68+N68+P68</f>
        <v/>
      </c>
      <c r="S68" s="23">
        <f>M68+O68+Q68</f>
        <v/>
      </c>
      <c r="T68" s="29">
        <f>S68-R68</f>
        <v/>
      </c>
      <c r="U68" s="30" t="inlineStr"/>
    </row>
    <row r="69" ht="20" customHeight="1">
      <c r="B69" s="20" t="inlineStr">
        <is>
          <t>DOMINICANA, REPÚBLICA</t>
        </is>
      </c>
      <c r="C69" s="21" t="inlineStr">
        <is>
          <t>JUAN JIMENEZ, SRL</t>
        </is>
      </c>
      <c r="D69" s="20" t="inlineStr">
        <is>
          <t>BIO0001</t>
        </is>
      </c>
      <c r="E69" s="21" t="inlineStr">
        <is>
          <t>BIORAD-20</t>
        </is>
      </c>
      <c r="F69" s="22" t="n">
        <v>0</v>
      </c>
      <c r="G69" s="23" t="n">
        <v>0</v>
      </c>
      <c r="H69" s="22">
        <f>ABS(G69-F69)</f>
        <v/>
      </c>
      <c r="I69" s="24">
        <f>IF(F69&gt;0, G69/F69, IF(G69&gt;0, 1.0, 0.0))</f>
        <v/>
      </c>
      <c r="J69" s="25">
        <f>IF(F69&gt;0, 1.0 - (H69/F69), IF(G69=0, 1.0, 0.0))</f>
        <v/>
      </c>
      <c r="K69" s="26" t="inlineStr"/>
      <c r="L69" s="27" t="n">
        <v>0</v>
      </c>
      <c r="M69" s="28" t="n">
        <v>0</v>
      </c>
      <c r="N69" s="27" t="n">
        <v>1224</v>
      </c>
      <c r="O69" s="28" t="n">
        <v>1224</v>
      </c>
      <c r="P69" s="27" t="n">
        <v>0</v>
      </c>
      <c r="Q69" s="28" t="n">
        <v>0</v>
      </c>
      <c r="R69" s="22">
        <f>L69+N69+P69</f>
        <v/>
      </c>
      <c r="S69" s="23">
        <f>M69+O69+Q69</f>
        <v/>
      </c>
      <c r="T69" s="29">
        <f>S69-R69</f>
        <v/>
      </c>
      <c r="U69" s="30" t="inlineStr"/>
    </row>
    <row r="70" ht="20" customHeight="1">
      <c r="B70" s="20" t="inlineStr">
        <is>
          <t>DOMINICANA, REPÚBLICA</t>
        </is>
      </c>
      <c r="C70" s="21" t="inlineStr">
        <is>
          <t>JUAN JIMENEZ, SRL</t>
        </is>
      </c>
      <c r="D70" s="20" t="inlineStr">
        <is>
          <t>BIO0005</t>
        </is>
      </c>
      <c r="E70" s="21" t="inlineStr">
        <is>
          <t>BIORAD-20</t>
        </is>
      </c>
      <c r="F70" s="22" t="n">
        <v>0</v>
      </c>
      <c r="G70" s="23" t="n">
        <v>0</v>
      </c>
      <c r="H70" s="22">
        <f>ABS(G70-F70)</f>
        <v/>
      </c>
      <c r="I70" s="24">
        <f>IF(F70&gt;0, G70/F70, IF(G70&gt;0, 1.0, 0.0))</f>
        <v/>
      </c>
      <c r="J70" s="25">
        <f>IF(F70&gt;0, 1.0 - (H70/F70), IF(G70=0, 1.0, 0.0))</f>
        <v/>
      </c>
      <c r="K70" s="26" t="inlineStr"/>
      <c r="L70" s="27" t="n">
        <v>0</v>
      </c>
      <c r="M70" s="28" t="n">
        <v>0</v>
      </c>
      <c r="N70" s="27" t="n">
        <v>3620</v>
      </c>
      <c r="O70" s="28" t="n">
        <v>3620</v>
      </c>
      <c r="P70" s="27" t="n">
        <v>0</v>
      </c>
      <c r="Q70" s="28" t="n">
        <v>0</v>
      </c>
      <c r="R70" s="22">
        <f>L70+N70+P70</f>
        <v/>
      </c>
      <c r="S70" s="23">
        <f>M70+O70+Q70</f>
        <v/>
      </c>
      <c r="T70" s="29">
        <f>S70-R70</f>
        <v/>
      </c>
      <c r="U70" s="30" t="inlineStr"/>
    </row>
    <row r="71" ht="20" customHeight="1">
      <c r="B71" s="20" t="inlineStr">
        <is>
          <t>DOMINICANA, REPÚBLICA</t>
        </is>
      </c>
      <c r="C71" s="21" t="inlineStr">
        <is>
          <t>JUAN JIMENEZ, SRL</t>
        </is>
      </c>
      <c r="D71" s="20" t="inlineStr">
        <is>
          <t>BIO0020</t>
        </is>
      </c>
      <c r="E71" s="21" t="inlineStr">
        <is>
          <t>BIORAD-20</t>
        </is>
      </c>
      <c r="F71" s="22" t="n">
        <v>0</v>
      </c>
      <c r="G71" s="23" t="n">
        <v>0</v>
      </c>
      <c r="H71" s="22">
        <f>ABS(G71-F71)</f>
        <v/>
      </c>
      <c r="I71" s="24">
        <f>IF(F71&gt;0, G71/F71, IF(G71&gt;0, 1.0, 0.0))</f>
        <v/>
      </c>
      <c r="J71" s="25">
        <f>IF(F71&gt;0, 1.0 - (H71/F71), IF(G71=0, 1.0, 0.0))</f>
        <v/>
      </c>
      <c r="K71" s="26" t="inlineStr"/>
      <c r="L71" s="27" t="n">
        <v>0</v>
      </c>
      <c r="M71" s="28" t="n">
        <v>0</v>
      </c>
      <c r="N71" s="27" t="n">
        <v>2500</v>
      </c>
      <c r="O71" s="28" t="n">
        <v>2500</v>
      </c>
      <c r="P71" s="27" t="n">
        <v>0</v>
      </c>
      <c r="Q71" s="28" t="n">
        <v>0</v>
      </c>
      <c r="R71" s="22">
        <f>L71+N71+P71</f>
        <v/>
      </c>
      <c r="S71" s="23">
        <f>M71+O71+Q71</f>
        <v/>
      </c>
      <c r="T71" s="29">
        <f>S71-R71</f>
        <v/>
      </c>
      <c r="U71" s="30" t="inlineStr"/>
    </row>
    <row r="72" ht="20" customHeight="1">
      <c r="B72" s="20" t="inlineStr">
        <is>
          <t>DOMINICANA, REPÚBLICA</t>
        </is>
      </c>
      <c r="C72" s="21" t="inlineStr">
        <is>
          <t>JUAN JIMENEZ, SRL</t>
        </is>
      </c>
      <c r="D72" s="20" t="inlineStr">
        <is>
          <t>C-L0001</t>
        </is>
      </c>
      <c r="E72" s="21" t="inlineStr">
        <is>
          <t>CODIBOR-L, 1 L</t>
        </is>
      </c>
      <c r="F72" s="22" t="n">
        <v>0</v>
      </c>
      <c r="G72" s="23" t="n">
        <v>0</v>
      </c>
      <c r="H72" s="22">
        <f>ABS(G72-F72)</f>
        <v/>
      </c>
      <c r="I72" s="24">
        <f>IF(F72&gt;0, G72/F72, IF(G72&gt;0, 1.0, 0.0))</f>
        <v/>
      </c>
      <c r="J72" s="25">
        <f>IF(F72&gt;0, 1.0 - (H72/F72), IF(G72=0, 1.0, 0.0))</f>
        <v/>
      </c>
      <c r="K72" s="26" t="inlineStr"/>
      <c r="L72" s="27" t="n">
        <v>0</v>
      </c>
      <c r="M72" s="28" t="n">
        <v>0</v>
      </c>
      <c r="N72" s="27" t="n">
        <v>300</v>
      </c>
      <c r="O72" s="28" t="n">
        <v>300</v>
      </c>
      <c r="P72" s="27" t="n">
        <v>0</v>
      </c>
      <c r="Q72" s="28" t="n">
        <v>0</v>
      </c>
      <c r="R72" s="22">
        <f>L72+N72+P72</f>
        <v/>
      </c>
      <c r="S72" s="23">
        <f>M72+O72+Q72</f>
        <v/>
      </c>
      <c r="T72" s="29">
        <f>S72-R72</f>
        <v/>
      </c>
      <c r="U72" s="30" t="inlineStr"/>
    </row>
    <row r="73" ht="20" customHeight="1">
      <c r="B73" s="20" t="inlineStr">
        <is>
          <t>DOMINICANA, REPÚBLICA</t>
        </is>
      </c>
      <c r="C73" s="21" t="inlineStr">
        <is>
          <t>JUAN JIMENEZ, SRL</t>
        </is>
      </c>
      <c r="D73" s="20" t="inlineStr">
        <is>
          <t>F-A0001</t>
        </is>
      </c>
      <c r="E73" s="21" t="inlineStr">
        <is>
          <t>FITOLIN-AGRO</t>
        </is>
      </c>
      <c r="F73" s="22" t="n">
        <v>0</v>
      </c>
      <c r="G73" s="23" t="n">
        <v>0</v>
      </c>
      <c r="H73" s="22">
        <f>ABS(G73-F73)</f>
        <v/>
      </c>
      <c r="I73" s="24">
        <f>IF(F73&gt;0, G73/F73, IF(G73&gt;0, 1.0, 0.0))</f>
        <v/>
      </c>
      <c r="J73" s="25">
        <f>IF(F73&gt;0, 1.0 - (H73/F73), IF(G73=0, 1.0, 0.0))</f>
        <v/>
      </c>
      <c r="K73" s="26" t="inlineStr"/>
      <c r="L73" s="27" t="n">
        <v>0</v>
      </c>
      <c r="M73" s="28" t="n">
        <v>0</v>
      </c>
      <c r="N73" s="27" t="n">
        <v>1000</v>
      </c>
      <c r="O73" s="28" t="n">
        <v>1000</v>
      </c>
      <c r="P73" s="27" t="n">
        <v>0</v>
      </c>
      <c r="Q73" s="28" t="n">
        <v>0</v>
      </c>
      <c r="R73" s="22">
        <f>L73+N73+P73</f>
        <v/>
      </c>
      <c r="S73" s="23">
        <f>M73+O73+Q73</f>
        <v/>
      </c>
      <c r="T73" s="29">
        <f>S73-R73</f>
        <v/>
      </c>
      <c r="U73" s="30" t="inlineStr"/>
    </row>
    <row r="74" ht="20" customHeight="1">
      <c r="B74" s="20" t="inlineStr">
        <is>
          <t>DOMINICANA, REPÚBLICA</t>
        </is>
      </c>
      <c r="C74" s="21" t="inlineStr">
        <is>
          <t>JUAN JIMENEZ, SRL</t>
        </is>
      </c>
      <c r="D74" s="20" t="inlineStr">
        <is>
          <t>F-A0005</t>
        </is>
      </c>
      <c r="E74" s="21" t="inlineStr">
        <is>
          <t>FITOLIN-AGRO</t>
        </is>
      </c>
      <c r="F74" s="22" t="n">
        <v>0</v>
      </c>
      <c r="G74" s="23" t="n">
        <v>0</v>
      </c>
      <c r="H74" s="22">
        <f>ABS(G74-F74)</f>
        <v/>
      </c>
      <c r="I74" s="24">
        <f>IF(F74&gt;0, G74/F74, IF(G74&gt;0, 1.0, 0.0))</f>
        <v/>
      </c>
      <c r="J74" s="25">
        <f>IF(F74&gt;0, 1.0 - (H74/F74), IF(G74=0, 1.0, 0.0))</f>
        <v/>
      </c>
      <c r="K74" s="26" t="inlineStr"/>
      <c r="L74" s="27" t="n">
        <v>0</v>
      </c>
      <c r="M74" s="28" t="n">
        <v>0</v>
      </c>
      <c r="N74" s="27" t="n">
        <v>1500</v>
      </c>
      <c r="O74" s="28" t="n">
        <v>1500</v>
      </c>
      <c r="P74" s="27" t="n">
        <v>0</v>
      </c>
      <c r="Q74" s="28" t="n">
        <v>0</v>
      </c>
      <c r="R74" s="22">
        <f>L74+N74+P74</f>
        <v/>
      </c>
      <c r="S74" s="23">
        <f>M74+O74+Q74</f>
        <v/>
      </c>
      <c r="T74" s="29">
        <f>S74-R74</f>
        <v/>
      </c>
      <c r="U74" s="30" t="inlineStr"/>
    </row>
    <row r="75" ht="20" customHeight="1">
      <c r="B75" s="20" t="inlineStr">
        <is>
          <t>DOMINICANA, REPÚBLICA</t>
        </is>
      </c>
      <c r="C75" s="21" t="inlineStr">
        <is>
          <t>JUAN JIMENEZ, SRL</t>
        </is>
      </c>
      <c r="D75" s="20" t="inlineStr">
        <is>
          <t>FLOR0001</t>
        </is>
      </c>
      <c r="E75" s="21" t="inlineStr">
        <is>
          <t>FLORAMEC</t>
        </is>
      </c>
      <c r="F75" s="22" t="n">
        <v>0</v>
      </c>
      <c r="G75" s="23" t="n">
        <v>0</v>
      </c>
      <c r="H75" s="22">
        <f>ABS(G75-F75)</f>
        <v/>
      </c>
      <c r="I75" s="24">
        <f>IF(F75&gt;0, G75/F75, IF(G75&gt;0, 1.0, 0.0))</f>
        <v/>
      </c>
      <c r="J75" s="25">
        <f>IF(F75&gt;0, 1.0 - (H75/F75), IF(G75=0, 1.0, 0.0))</f>
        <v/>
      </c>
      <c r="K75" s="26" t="inlineStr"/>
      <c r="L75" s="27" t="n">
        <v>0</v>
      </c>
      <c r="M75" s="28" t="n">
        <v>0</v>
      </c>
      <c r="N75" s="27" t="n">
        <v>800</v>
      </c>
      <c r="O75" s="28" t="n">
        <v>800</v>
      </c>
      <c r="P75" s="27" t="n">
        <v>0</v>
      </c>
      <c r="Q75" s="28" t="n">
        <v>0</v>
      </c>
      <c r="R75" s="22">
        <f>L75+N75+P75</f>
        <v/>
      </c>
      <c r="S75" s="23">
        <f>M75+O75+Q75</f>
        <v/>
      </c>
      <c r="T75" s="29">
        <f>S75-R75</f>
        <v/>
      </c>
      <c r="U75" s="30" t="inlineStr"/>
    </row>
    <row r="76" ht="20" customHeight="1">
      <c r="B76" s="20" t="inlineStr">
        <is>
          <t>DOMINICANA, REPÚBLICA</t>
        </is>
      </c>
      <c r="C76" s="21" t="inlineStr">
        <is>
          <t>JUAN JIMENEZ, SRL</t>
        </is>
      </c>
      <c r="D76" s="20" t="inlineStr">
        <is>
          <t>FU0001</t>
        </is>
      </c>
      <c r="E76" s="21" t="inlineStr">
        <is>
          <t>FULVIGIN</t>
        </is>
      </c>
      <c r="F76" s="22" t="n">
        <v>0</v>
      </c>
      <c r="G76" s="23" t="n">
        <v>0</v>
      </c>
      <c r="H76" s="22">
        <f>ABS(G76-F76)</f>
        <v/>
      </c>
      <c r="I76" s="24">
        <f>IF(F76&gt;0, G76/F76, IF(G76&gt;0, 1.0, 0.0))</f>
        <v/>
      </c>
      <c r="J76" s="25">
        <f>IF(F76&gt;0, 1.0 - (H76/F76), IF(G76=0, 1.0, 0.0))</f>
        <v/>
      </c>
      <c r="K76" s="26" t="inlineStr"/>
      <c r="L76" s="27" t="n">
        <v>0</v>
      </c>
      <c r="M76" s="28" t="n">
        <v>0</v>
      </c>
      <c r="N76" s="27" t="n">
        <v>500</v>
      </c>
      <c r="O76" s="28" t="n">
        <v>500</v>
      </c>
      <c r="P76" s="27" t="n">
        <v>0</v>
      </c>
      <c r="Q76" s="28" t="n">
        <v>0</v>
      </c>
      <c r="R76" s="22">
        <f>L76+N76+P76</f>
        <v/>
      </c>
      <c r="S76" s="23">
        <f>M76+O76+Q76</f>
        <v/>
      </c>
      <c r="T76" s="29">
        <f>S76-R76</f>
        <v/>
      </c>
      <c r="U76" s="30" t="inlineStr"/>
    </row>
    <row r="77" ht="20" customHeight="1">
      <c r="B77" s="20" t="inlineStr">
        <is>
          <t>DOMINICANA, REPÚBLICA</t>
        </is>
      </c>
      <c r="C77" s="21" t="inlineStr">
        <is>
          <t>JUAN JIMENEZ, SRL</t>
        </is>
      </c>
      <c r="D77" s="20" t="inlineStr">
        <is>
          <t>LP0001</t>
        </is>
      </c>
      <c r="E77" s="21" t="inlineStr">
        <is>
          <t>LAVAPLANT GRANEL</t>
        </is>
      </c>
      <c r="F77" s="22" t="n">
        <v>0</v>
      </c>
      <c r="G77" s="23" t="n">
        <v>0</v>
      </c>
      <c r="H77" s="22">
        <f>ABS(G77-F77)</f>
        <v/>
      </c>
      <c r="I77" s="24">
        <f>IF(F77&gt;0, G77/F77, IF(G77&gt;0, 1.0, 0.0))</f>
        <v/>
      </c>
      <c r="J77" s="25">
        <f>IF(F77&gt;0, 1.0 - (H77/F77), IF(G77=0, 1.0, 0.0))</f>
        <v/>
      </c>
      <c r="K77" s="26" t="inlineStr"/>
      <c r="L77" s="27" t="n">
        <v>0</v>
      </c>
      <c r="M77" s="28" t="n">
        <v>0</v>
      </c>
      <c r="N77" s="27" t="n">
        <v>2000</v>
      </c>
      <c r="O77" s="28" t="n">
        <v>2000</v>
      </c>
      <c r="P77" s="27" t="n">
        <v>0</v>
      </c>
      <c r="Q77" s="28" t="n">
        <v>0</v>
      </c>
      <c r="R77" s="22">
        <f>L77+N77+P77</f>
        <v/>
      </c>
      <c r="S77" s="23">
        <f>M77+O77+Q77</f>
        <v/>
      </c>
      <c r="T77" s="29">
        <f>S77-R77</f>
        <v/>
      </c>
      <c r="U77" s="30" t="inlineStr"/>
    </row>
    <row r="78" ht="20" customHeight="1">
      <c r="B78" s="20" t="inlineStr">
        <is>
          <t>DOMINICANA, REPÚBLICA</t>
        </is>
      </c>
      <c r="C78" s="21" t="inlineStr">
        <is>
          <t>JUAN JIMENEZ, SRL</t>
        </is>
      </c>
      <c r="D78" s="20" t="inlineStr">
        <is>
          <t>LP0005</t>
        </is>
      </c>
      <c r="E78" s="21" t="inlineStr">
        <is>
          <t>LAVAPLANT, 5 L</t>
        </is>
      </c>
      <c r="F78" s="22" t="n">
        <v>0</v>
      </c>
      <c r="G78" s="23" t="n">
        <v>0</v>
      </c>
      <c r="H78" s="22">
        <f>ABS(G78-F78)</f>
        <v/>
      </c>
      <c r="I78" s="24">
        <f>IF(F78&gt;0, G78/F78, IF(G78&gt;0, 1.0, 0.0))</f>
        <v/>
      </c>
      <c r="J78" s="25">
        <f>IF(F78&gt;0, 1.0 - (H78/F78), IF(G78=0, 1.0, 0.0))</f>
        <v/>
      </c>
      <c r="K78" s="26" t="inlineStr"/>
      <c r="L78" s="27" t="n">
        <v>0</v>
      </c>
      <c r="M78" s="28" t="n">
        <v>0</v>
      </c>
      <c r="N78" s="27" t="n">
        <v>500</v>
      </c>
      <c r="O78" s="28" t="n">
        <v>500</v>
      </c>
      <c r="P78" s="27" t="n">
        <v>0</v>
      </c>
      <c r="Q78" s="28" t="n">
        <v>0</v>
      </c>
      <c r="R78" s="22">
        <f>L78+N78+P78</f>
        <v/>
      </c>
      <c r="S78" s="23">
        <f>M78+O78+Q78</f>
        <v/>
      </c>
      <c r="T78" s="29">
        <f>S78-R78</f>
        <v/>
      </c>
      <c r="U78" s="30" t="inlineStr"/>
    </row>
    <row r="79" ht="20" customHeight="1">
      <c r="B79" s="20" t="inlineStr">
        <is>
          <t>DOMINICANA, REPÚBLICA</t>
        </is>
      </c>
      <c r="C79" s="21" t="inlineStr">
        <is>
          <t>JUAN JIMENEZ, SRL</t>
        </is>
      </c>
      <c r="D79" s="20" t="inlineStr">
        <is>
          <t>MPH0001</t>
        </is>
      </c>
      <c r="E79" s="21" t="inlineStr">
        <is>
          <t>MOJALINE</t>
        </is>
      </c>
      <c r="F79" s="22" t="n">
        <v>0</v>
      </c>
      <c r="G79" s="23" t="n">
        <v>0</v>
      </c>
      <c r="H79" s="22">
        <f>ABS(G79-F79)</f>
        <v/>
      </c>
      <c r="I79" s="24">
        <f>IF(F79&gt;0, G79/F79, IF(G79&gt;0, 1.0, 0.0))</f>
        <v/>
      </c>
      <c r="J79" s="25">
        <f>IF(F79&gt;0, 1.0 - (H79/F79), IF(G79=0, 1.0, 0.0))</f>
        <v/>
      </c>
      <c r="K79" s="26" t="inlineStr"/>
      <c r="L79" s="27" t="n">
        <v>0</v>
      </c>
      <c r="M79" s="28" t="n">
        <v>0</v>
      </c>
      <c r="N79" s="27" t="n">
        <v>500</v>
      </c>
      <c r="O79" s="28" t="n">
        <v>500</v>
      </c>
      <c r="P79" s="27" t="n">
        <v>0</v>
      </c>
      <c r="Q79" s="28" t="n">
        <v>0</v>
      </c>
      <c r="R79" s="22">
        <f>L79+N79+P79</f>
        <v/>
      </c>
      <c r="S79" s="23">
        <f>M79+O79+Q79</f>
        <v/>
      </c>
      <c r="T79" s="29">
        <f>S79-R79</f>
        <v/>
      </c>
      <c r="U79" s="30" t="inlineStr"/>
    </row>
    <row r="80" ht="20" customHeight="1">
      <c r="B80" s="20" t="inlineStr">
        <is>
          <t>DOMINICANA, REPÚBLICA</t>
        </is>
      </c>
      <c r="C80" s="21" t="inlineStr">
        <is>
          <t>JUAN JIMENEZ, SRL</t>
        </is>
      </c>
      <c r="D80" s="20" t="inlineStr">
        <is>
          <t>MPH0005</t>
        </is>
      </c>
      <c r="E80" s="21" t="inlineStr">
        <is>
          <t>MOJALINE NL, 5 L</t>
        </is>
      </c>
      <c r="F80" s="22" t="n">
        <v>0</v>
      </c>
      <c r="G80" s="23" t="n">
        <v>0</v>
      </c>
      <c r="H80" s="22">
        <f>ABS(G80-F80)</f>
        <v/>
      </c>
      <c r="I80" s="24">
        <f>IF(F80&gt;0, G80/F80, IF(G80&gt;0, 1.0, 0.0))</f>
        <v/>
      </c>
      <c r="J80" s="25">
        <f>IF(F80&gt;0, 1.0 - (H80/F80), IF(G80=0, 1.0, 0.0))</f>
        <v/>
      </c>
      <c r="K80" s="26" t="inlineStr"/>
      <c r="L80" s="27" t="n">
        <v>0</v>
      </c>
      <c r="M80" s="28" t="n">
        <v>0</v>
      </c>
      <c r="N80" s="27" t="n">
        <v>300</v>
      </c>
      <c r="O80" s="28" t="n">
        <v>300</v>
      </c>
      <c r="P80" s="27" t="n">
        <v>0</v>
      </c>
      <c r="Q80" s="28" t="n">
        <v>0</v>
      </c>
      <c r="R80" s="22">
        <f>L80+N80+P80</f>
        <v/>
      </c>
      <c r="S80" s="23">
        <f>M80+O80+Q80</f>
        <v/>
      </c>
      <c r="T80" s="29">
        <f>S80-R80</f>
        <v/>
      </c>
      <c r="U80" s="30" t="inlineStr"/>
    </row>
    <row r="81" ht="20" customHeight="1">
      <c r="B81" s="20" t="inlineStr">
        <is>
          <t>DOMINICANA, REPÚBLICA</t>
        </is>
      </c>
      <c r="C81" s="21" t="inlineStr">
        <is>
          <t>JUAN JIMENEZ, SRL</t>
        </is>
      </c>
      <c r="D81" s="20" t="inlineStr">
        <is>
          <t>PT0001</t>
        </is>
      </c>
      <c r="E81" s="21" t="inlineStr">
        <is>
          <t>AGROPOTASION</t>
        </is>
      </c>
      <c r="F81" s="22" t="n">
        <v>0</v>
      </c>
      <c r="G81" s="23" t="n">
        <v>0</v>
      </c>
      <c r="H81" s="22">
        <f>ABS(G81-F81)</f>
        <v/>
      </c>
      <c r="I81" s="24">
        <f>IF(F81&gt;0, G81/F81, IF(G81&gt;0, 1.0, 0.0))</f>
        <v/>
      </c>
      <c r="J81" s="25">
        <f>IF(F81&gt;0, 1.0 - (H81/F81), IF(G81=0, 1.0, 0.0))</f>
        <v/>
      </c>
      <c r="K81" s="26" t="inlineStr"/>
      <c r="L81" s="27" t="n">
        <v>0</v>
      </c>
      <c r="M81" s="28" t="n">
        <v>0</v>
      </c>
      <c r="N81" s="27" t="n">
        <v>2000</v>
      </c>
      <c r="O81" s="28" t="n">
        <v>2000</v>
      </c>
      <c r="P81" s="27" t="n">
        <v>0</v>
      </c>
      <c r="Q81" s="28" t="n">
        <v>0</v>
      </c>
      <c r="R81" s="22">
        <f>L81+N81+P81</f>
        <v/>
      </c>
      <c r="S81" s="23">
        <f>M81+O81+Q81</f>
        <v/>
      </c>
      <c r="T81" s="29">
        <f>S81-R81</f>
        <v/>
      </c>
      <c r="U81" s="30" t="inlineStr"/>
    </row>
    <row r="82" ht="20" customHeight="1">
      <c r="B82" s="20" t="inlineStr">
        <is>
          <t>DOMINICANA, REPÚBLICA</t>
        </is>
      </c>
      <c r="C82" s="21" t="inlineStr">
        <is>
          <t>JUAN JIMENEZ, SRL</t>
        </is>
      </c>
      <c r="D82" s="20" t="inlineStr">
        <is>
          <t>PT0005</t>
        </is>
      </c>
      <c r="E82" s="21" t="inlineStr">
        <is>
          <t>AGROPOTASION, 5 L</t>
        </is>
      </c>
      <c r="F82" s="22" t="n">
        <v>0</v>
      </c>
      <c r="G82" s="23" t="n">
        <v>0</v>
      </c>
      <c r="H82" s="22">
        <f>ABS(G82-F82)</f>
        <v/>
      </c>
      <c r="I82" s="24">
        <f>IF(F82&gt;0, G82/F82, IF(G82&gt;0, 1.0, 0.0))</f>
        <v/>
      </c>
      <c r="J82" s="25">
        <f>IF(F82&gt;0, 1.0 - (H82/F82), IF(G82=0, 1.0, 0.0))</f>
        <v/>
      </c>
      <c r="K82" s="26" t="inlineStr"/>
      <c r="L82" s="27" t="n">
        <v>0</v>
      </c>
      <c r="M82" s="28" t="n">
        <v>0</v>
      </c>
      <c r="N82" s="27" t="n">
        <v>1000</v>
      </c>
      <c r="O82" s="28" t="n">
        <v>1000</v>
      </c>
      <c r="P82" s="27" t="n">
        <v>0</v>
      </c>
      <c r="Q82" s="28" t="n">
        <v>0</v>
      </c>
      <c r="R82" s="22">
        <f>L82+N82+P82</f>
        <v/>
      </c>
      <c r="S82" s="23">
        <f>M82+O82+Q82</f>
        <v/>
      </c>
      <c r="T82" s="29">
        <f>S82-R82</f>
        <v/>
      </c>
      <c r="U82" s="30" t="inlineStr"/>
    </row>
    <row r="83" ht="20" customHeight="1">
      <c r="B83" s="20" t="inlineStr">
        <is>
          <t>DOMINICANA, REPÚBLICA</t>
        </is>
      </c>
      <c r="C83" s="21" t="inlineStr">
        <is>
          <t>JUAN JIMENEZ, SRL</t>
        </is>
      </c>
      <c r="D83" s="20" t="inlineStr">
        <is>
          <t>SPCE2B0001</t>
        </is>
      </c>
      <c r="E83" s="21" t="inlineStr">
        <is>
          <t>SPRINTENE</t>
        </is>
      </c>
      <c r="F83" s="22" t="n">
        <v>0</v>
      </c>
      <c r="G83" s="23" t="n">
        <v>0</v>
      </c>
      <c r="H83" s="22">
        <f>ABS(G83-F83)</f>
        <v/>
      </c>
      <c r="I83" s="24">
        <f>IF(F83&gt;0, G83/F83, IF(G83&gt;0, 1.0, 0.0))</f>
        <v/>
      </c>
      <c r="J83" s="25">
        <f>IF(F83&gt;0, 1.0 - (H83/F83), IF(G83=0, 1.0, 0.0))</f>
        <v/>
      </c>
      <c r="K83" s="26" t="inlineStr"/>
      <c r="L83" s="27" t="n">
        <v>0</v>
      </c>
      <c r="M83" s="28" t="n">
        <v>0</v>
      </c>
      <c r="N83" s="27" t="n">
        <v>360</v>
      </c>
      <c r="O83" s="28" t="n">
        <v>360</v>
      </c>
      <c r="P83" s="27" t="n">
        <v>0</v>
      </c>
      <c r="Q83" s="28" t="n">
        <v>0</v>
      </c>
      <c r="R83" s="22">
        <f>L83+N83+P83</f>
        <v/>
      </c>
      <c r="S83" s="23">
        <f>M83+O83+Q83</f>
        <v/>
      </c>
      <c r="T83" s="29">
        <f>S83-R83</f>
        <v/>
      </c>
      <c r="U83" s="30" t="inlineStr"/>
    </row>
    <row r="84" ht="20" customHeight="1">
      <c r="B84" s="20" t="inlineStr">
        <is>
          <t>DOMINICANA, REPÚBLICA</t>
        </is>
      </c>
      <c r="C84" s="21" t="inlineStr">
        <is>
          <t>JUAN JIMENEZ, SRL</t>
        </is>
      </c>
      <c r="D84" s="20" t="inlineStr">
        <is>
          <t>SS0001</t>
        </is>
      </c>
      <c r="E84" s="21" t="inlineStr">
        <is>
          <t>SAL-WAX</t>
        </is>
      </c>
      <c r="F84" s="22" t="n">
        <v>0</v>
      </c>
      <c r="G84" s="23" t="n">
        <v>0</v>
      </c>
      <c r="H84" s="22">
        <f>ABS(G84-F84)</f>
        <v/>
      </c>
      <c r="I84" s="24">
        <f>IF(F84&gt;0, G84/F84, IF(G84&gt;0, 1.0, 0.0))</f>
        <v/>
      </c>
      <c r="J84" s="25">
        <f>IF(F84&gt;0, 1.0 - (H84/F84), IF(G84=0, 1.0, 0.0))</f>
        <v/>
      </c>
      <c r="K84" s="26" t="inlineStr"/>
      <c r="L84" s="27" t="n">
        <v>0</v>
      </c>
      <c r="M84" s="28" t="n">
        <v>0</v>
      </c>
      <c r="N84" s="27" t="n">
        <v>640</v>
      </c>
      <c r="O84" s="28" t="n">
        <v>640</v>
      </c>
      <c r="P84" s="27" t="n">
        <v>0</v>
      </c>
      <c r="Q84" s="28" t="n">
        <v>0</v>
      </c>
      <c r="R84" s="22">
        <f>L84+N84+P84</f>
        <v/>
      </c>
      <c r="S84" s="23">
        <f>M84+O84+Q84</f>
        <v/>
      </c>
      <c r="T84" s="29">
        <f>S84-R84</f>
        <v/>
      </c>
      <c r="U84" s="30" t="inlineStr"/>
    </row>
    <row r="85" ht="20" customHeight="1">
      <c r="B85" s="20" t="inlineStr">
        <is>
          <t>DOMINICANA, REPÚBLICA</t>
        </is>
      </c>
      <c r="C85" s="21" t="inlineStr">
        <is>
          <t>JUAN JIMENEZ, SRL</t>
        </is>
      </c>
      <c r="D85" s="20" t="inlineStr">
        <is>
          <t>START20001</t>
        </is>
      </c>
      <c r="E85" s="21" t="inlineStr">
        <is>
          <t>RADISOL</t>
        </is>
      </c>
      <c r="F85" s="22" t="n">
        <v>0</v>
      </c>
      <c r="G85" s="23" t="n">
        <v>0</v>
      </c>
      <c r="H85" s="22">
        <f>ABS(G85-F85)</f>
        <v/>
      </c>
      <c r="I85" s="24">
        <f>IF(F85&gt;0, G85/F85, IF(G85&gt;0, 1.0, 0.0))</f>
        <v/>
      </c>
      <c r="J85" s="25">
        <f>IF(F85&gt;0, 1.0 - (H85/F85), IF(G85=0, 1.0, 0.0))</f>
        <v/>
      </c>
      <c r="K85" s="26" t="inlineStr"/>
      <c r="L85" s="27" t="n">
        <v>0</v>
      </c>
      <c r="M85" s="28" t="n">
        <v>0</v>
      </c>
      <c r="N85" s="27" t="n">
        <v>2000</v>
      </c>
      <c r="O85" s="28" t="n">
        <v>2000</v>
      </c>
      <c r="P85" s="27" t="n">
        <v>0</v>
      </c>
      <c r="Q85" s="28" t="n">
        <v>0</v>
      </c>
      <c r="R85" s="22">
        <f>L85+N85+P85</f>
        <v/>
      </c>
      <c r="S85" s="23">
        <f>M85+O85+Q85</f>
        <v/>
      </c>
      <c r="T85" s="29">
        <f>S85-R85</f>
        <v/>
      </c>
      <c r="U85" s="30" t="inlineStr"/>
    </row>
    <row r="86" ht="20" customHeight="1">
      <c r="B86" s="20" t="inlineStr">
        <is>
          <t>NETHERLANS</t>
        </is>
      </c>
      <c r="C86" s="21" t="inlineStr">
        <is>
          <t>LEKKERBIO B.V.</t>
        </is>
      </c>
      <c r="D86" s="20" t="inlineStr">
        <is>
          <t>AGXK0020</t>
        </is>
      </c>
      <c r="E86" s="21" t="inlineStr">
        <is>
          <t>AGROXILATO-K</t>
        </is>
      </c>
      <c r="F86" s="22" t="n">
        <v>0</v>
      </c>
      <c r="G86" s="23" t="n">
        <v>0</v>
      </c>
      <c r="H86" s="22">
        <f>ABS(G86-F86)</f>
        <v/>
      </c>
      <c r="I86" s="24">
        <f>IF(F86&gt;0, G86/F86, IF(G86&gt;0, 1.0, 0.0))</f>
        <v/>
      </c>
      <c r="J86" s="25">
        <f>IF(F86&gt;0, 1.0 - (H86/F86), IF(G86=0, 1.0, 0.0))</f>
        <v/>
      </c>
      <c r="K86" s="26" t="inlineStr"/>
      <c r="L86" s="27" t="n">
        <v>9600</v>
      </c>
      <c r="M86" s="28" t="n">
        <v>9600</v>
      </c>
      <c r="N86" s="27" t="n">
        <v>16800</v>
      </c>
      <c r="O86" s="28" t="n">
        <v>16800</v>
      </c>
      <c r="P86" s="27" t="n">
        <v>0</v>
      </c>
      <c r="Q86" s="28" t="n">
        <v>0</v>
      </c>
      <c r="R86" s="22">
        <f>L86+N86+P86</f>
        <v/>
      </c>
      <c r="S86" s="23">
        <f>M86+O86+Q86</f>
        <v/>
      </c>
      <c r="T86" s="29">
        <f>S86-R86</f>
        <v/>
      </c>
      <c r="U86" s="30" t="inlineStr"/>
    </row>
    <row r="87" ht="20" customHeight="1">
      <c r="B87" s="20" t="inlineStr">
        <is>
          <t>NETHERLANS</t>
        </is>
      </c>
      <c r="C87" s="21" t="inlineStr">
        <is>
          <t>LEKKERBIO B.V.</t>
        </is>
      </c>
      <c r="D87" s="20" t="inlineStr">
        <is>
          <t>AO0020</t>
        </is>
      </c>
      <c r="E87" s="21" t="inlineStr">
        <is>
          <t>ALCAPLANT NEW</t>
        </is>
      </c>
      <c r="F87" s="22" t="n">
        <v>44000</v>
      </c>
      <c r="G87" s="23" t="n">
        <v>0</v>
      </c>
      <c r="H87" s="22">
        <f>ABS(G87-F87)</f>
        <v/>
      </c>
      <c r="I87" s="24">
        <f>IF(F87&gt;0, G87/F87, IF(G87&gt;0, 1.0, 0.0))</f>
        <v/>
      </c>
      <c r="J87" s="25">
        <f>IF(F87&gt;0, 1.0 - (H87/F87), IF(G87=0, 1.0, 0.0))</f>
        <v/>
      </c>
      <c r="K87" s="26" t="inlineStr"/>
      <c r="L87" s="27" t="n">
        <v>22000</v>
      </c>
      <c r="M87" s="28" t="n">
        <v>22000</v>
      </c>
      <c r="N87" s="27" t="n">
        <v>44000</v>
      </c>
      <c r="O87" s="28" t="n">
        <v>44000</v>
      </c>
      <c r="P87" s="27" t="n">
        <v>44000</v>
      </c>
      <c r="Q87" s="28" t="n">
        <v>44000</v>
      </c>
      <c r="R87" s="22">
        <f>L87+N87+P87</f>
        <v/>
      </c>
      <c r="S87" s="23">
        <f>M87+O87+Q87</f>
        <v/>
      </c>
      <c r="T87" s="29">
        <f>S87-R87</f>
        <v/>
      </c>
      <c r="U87" s="30" t="inlineStr"/>
    </row>
    <row r="88" ht="20" customHeight="1">
      <c r="B88" s="20" t="inlineStr">
        <is>
          <t>NETHERLANS</t>
        </is>
      </c>
      <c r="C88" s="21" t="inlineStr">
        <is>
          <t>LEKKERBIO B.V.</t>
        </is>
      </c>
      <c r="D88" s="20" t="inlineStr">
        <is>
          <t>SS0005</t>
        </is>
      </c>
      <c r="E88" s="21" t="inlineStr">
        <is>
          <t>SAL-WAX-Ca</t>
        </is>
      </c>
      <c r="F88" s="22" t="n">
        <v>0</v>
      </c>
      <c r="G88" s="23" t="n">
        <v>0</v>
      </c>
      <c r="H88" s="22">
        <f>ABS(G88-F88)</f>
        <v/>
      </c>
      <c r="I88" s="24">
        <f>IF(F88&gt;0, G88/F88, IF(G88&gt;0, 1.0, 0.0))</f>
        <v/>
      </c>
      <c r="J88" s="25">
        <f>IF(F88&gt;0, 1.0 - (H88/F88), IF(G88=0, 1.0, 0.0))</f>
        <v/>
      </c>
      <c r="K88" s="26" t="inlineStr"/>
      <c r="L88" s="27" t="n">
        <v>0</v>
      </c>
      <c r="M88" s="28" t="n">
        <v>0</v>
      </c>
      <c r="N88" s="27" t="n">
        <v>4000</v>
      </c>
      <c r="O88" s="28" t="n">
        <v>4000</v>
      </c>
      <c r="P88" s="27" t="n">
        <v>0</v>
      </c>
      <c r="Q88" s="28" t="n">
        <v>0</v>
      </c>
      <c r="R88" s="22">
        <f>L88+N88+P88</f>
        <v/>
      </c>
      <c r="S88" s="23">
        <f>M88+O88+Q88</f>
        <v/>
      </c>
      <c r="T88" s="29">
        <f>S88-R88</f>
        <v/>
      </c>
      <c r="U88" s="30" t="inlineStr"/>
    </row>
    <row r="89" ht="20" customHeight="1">
      <c r="B89" s="20" t="inlineStr">
        <is>
          <t>PANAMÁ</t>
        </is>
      </c>
      <c r="C89" s="21" t="inlineStr">
        <is>
          <t>SERVICIOS AGROPECUARIOS EL LLANO, S. A.</t>
        </is>
      </c>
      <c r="D89" s="20" t="inlineStr">
        <is>
          <t>AGXCR0001</t>
        </is>
      </c>
      <c r="E89" s="21" t="inlineStr">
        <is>
          <t>AGROXILATO-K  (0-5-20), 1 L</t>
        </is>
      </c>
      <c r="F89" s="22" t="n">
        <v>0</v>
      </c>
      <c r="G89" s="23" t="n">
        <v>0</v>
      </c>
      <c r="H89" s="22">
        <f>ABS(G89-F89)</f>
        <v/>
      </c>
      <c r="I89" s="24">
        <f>IF(F89&gt;0, G89/F89, IF(G89&gt;0, 1.0, 0.0))</f>
        <v/>
      </c>
      <c r="J89" s="25">
        <f>IF(F89&gt;0, 1.0 - (H89/F89), IF(G89=0, 1.0, 0.0))</f>
        <v/>
      </c>
      <c r="K89" s="26" t="inlineStr"/>
      <c r="L89" s="27" t="n">
        <v>0</v>
      </c>
      <c r="M89" s="28" t="n">
        <v>0</v>
      </c>
      <c r="N89" s="27" t="n">
        <v>1584</v>
      </c>
      <c r="O89" s="28" t="n">
        <v>1584</v>
      </c>
      <c r="P89" s="27" t="n">
        <v>0</v>
      </c>
      <c r="Q89" s="28" t="n">
        <v>0</v>
      </c>
      <c r="R89" s="22">
        <f>L89+N89+P89</f>
        <v/>
      </c>
      <c r="S89" s="23">
        <f>M89+O89+Q89</f>
        <v/>
      </c>
      <c r="T89" s="29">
        <f>S89-R89</f>
        <v/>
      </c>
      <c r="U89" s="30" t="inlineStr"/>
    </row>
    <row r="90" ht="20" customHeight="1">
      <c r="B90" s="20" t="inlineStr">
        <is>
          <t>PANAMÁ</t>
        </is>
      </c>
      <c r="C90" s="21" t="inlineStr">
        <is>
          <t>SERVICIOS AGROPECUARIOS EL LLANO, S. A.</t>
        </is>
      </c>
      <c r="D90" s="20" t="inlineStr">
        <is>
          <t>AGXCR0005</t>
        </is>
      </c>
      <c r="E90" s="21" t="inlineStr">
        <is>
          <t>AGROXILATO-K (0-5-20), 5 Lts.</t>
        </is>
      </c>
      <c r="F90" s="22" t="n">
        <v>0</v>
      </c>
      <c r="G90" s="23" t="n">
        <v>0</v>
      </c>
      <c r="H90" s="22">
        <f>ABS(G90-F90)</f>
        <v/>
      </c>
      <c r="I90" s="24">
        <f>IF(F90&gt;0, G90/F90, IF(G90&gt;0, 1.0, 0.0))</f>
        <v/>
      </c>
      <c r="J90" s="25">
        <f>IF(F90&gt;0, 1.0 - (H90/F90), IF(G90=0, 1.0, 0.0))</f>
        <v/>
      </c>
      <c r="K90" s="26" t="inlineStr"/>
      <c r="L90" s="27" t="n">
        <v>0</v>
      </c>
      <c r="M90" s="28" t="n">
        <v>0</v>
      </c>
      <c r="N90" s="27" t="n">
        <v>800</v>
      </c>
      <c r="O90" s="28" t="n">
        <v>800</v>
      </c>
      <c r="P90" s="27" t="n">
        <v>0</v>
      </c>
      <c r="Q90" s="28" t="n">
        <v>0</v>
      </c>
      <c r="R90" s="22">
        <f>L90+N90+P90</f>
        <v/>
      </c>
      <c r="S90" s="23">
        <f>M90+O90+Q90</f>
        <v/>
      </c>
      <c r="T90" s="29">
        <f>S90-R90</f>
        <v/>
      </c>
      <c r="U90" s="30" t="inlineStr"/>
    </row>
    <row r="91" ht="20" customHeight="1">
      <c r="B91" s="20" t="inlineStr">
        <is>
          <t>PANAMÁ</t>
        </is>
      </c>
      <c r="C91" s="21" t="inlineStr">
        <is>
          <t>SERVICIOS AGROPECUARIOS EL LLANO, S. A.</t>
        </is>
      </c>
      <c r="D91" s="20" t="inlineStr">
        <is>
          <t>AN0005</t>
        </is>
      </c>
      <c r="E91" s="21" t="inlineStr">
        <is>
          <t>ALCAPLANT</t>
        </is>
      </c>
      <c r="F91" s="22" t="n">
        <v>0</v>
      </c>
      <c r="G91" s="23" t="n">
        <v>0</v>
      </c>
      <c r="H91" s="22">
        <f>ABS(G91-F91)</f>
        <v/>
      </c>
      <c r="I91" s="24">
        <f>IF(F91&gt;0, G91/F91, IF(G91&gt;0, 1.0, 0.0))</f>
        <v/>
      </c>
      <c r="J91" s="25">
        <f>IF(F91&gt;0, 1.0 - (H91/F91), IF(G91=0, 1.0, 0.0))</f>
        <v/>
      </c>
      <c r="K91" s="26" t="inlineStr"/>
      <c r="L91" s="27" t="n">
        <v>0</v>
      </c>
      <c r="M91" s="28" t="n">
        <v>0</v>
      </c>
      <c r="N91" s="27" t="n">
        <v>6000</v>
      </c>
      <c r="O91" s="28" t="n">
        <v>6000</v>
      </c>
      <c r="P91" s="27" t="n">
        <v>0</v>
      </c>
      <c r="Q91" s="28" t="n">
        <v>0</v>
      </c>
      <c r="R91" s="22">
        <f>L91+N91+P91</f>
        <v/>
      </c>
      <c r="S91" s="23">
        <f>M91+O91+Q91</f>
        <v/>
      </c>
      <c r="T91" s="29">
        <f>S91-R91</f>
        <v/>
      </c>
      <c r="U91" s="30" t="inlineStr"/>
    </row>
    <row r="92" ht="20" customHeight="1">
      <c r="B92" s="20" t="inlineStr">
        <is>
          <t>PANAMÁ</t>
        </is>
      </c>
      <c r="C92" s="21" t="inlineStr">
        <is>
          <t>SERVICIOS AGROPECUARIOS EL LLANO, S. A.</t>
        </is>
      </c>
      <c r="D92" s="20" t="inlineStr">
        <is>
          <t>CODIR0001</t>
        </is>
      </c>
      <c r="E92" s="21" t="inlineStr">
        <is>
          <t>CODIRESIST, 1 L</t>
        </is>
      </c>
      <c r="F92" s="22" t="n">
        <v>0</v>
      </c>
      <c r="G92" s="23" t="n">
        <v>0</v>
      </c>
      <c r="H92" s="22">
        <f>ABS(G92-F92)</f>
        <v/>
      </c>
      <c r="I92" s="24">
        <f>IF(F92&gt;0, G92/F92, IF(G92&gt;0, 1.0, 0.0))</f>
        <v/>
      </c>
      <c r="J92" s="25">
        <f>IF(F92&gt;0, 1.0 - (H92/F92), IF(G92=0, 1.0, 0.0))</f>
        <v/>
      </c>
      <c r="K92" s="26" t="inlineStr"/>
      <c r="L92" s="27" t="n">
        <v>0</v>
      </c>
      <c r="M92" s="28" t="n">
        <v>0</v>
      </c>
      <c r="N92" s="27" t="n">
        <v>1584</v>
      </c>
      <c r="O92" s="28" t="n">
        <v>1584</v>
      </c>
      <c r="P92" s="27" t="n">
        <v>0</v>
      </c>
      <c r="Q92" s="28" t="n">
        <v>0</v>
      </c>
      <c r="R92" s="22">
        <f>L92+N92+P92</f>
        <v/>
      </c>
      <c r="S92" s="23">
        <f>M92+O92+Q92</f>
        <v/>
      </c>
      <c r="T92" s="29">
        <f>S92-R92</f>
        <v/>
      </c>
      <c r="U92" s="30" t="inlineStr"/>
    </row>
    <row r="93" ht="20" customHeight="1">
      <c r="B93" s="20" t="inlineStr">
        <is>
          <t>PANAMÁ</t>
        </is>
      </c>
      <c r="C93" s="21" t="inlineStr">
        <is>
          <t>SERVICIOS AGROPECUARIOS EL LLANO, S. A.</t>
        </is>
      </c>
      <c r="D93" s="20" t="inlineStr">
        <is>
          <t>CODIR0005</t>
        </is>
      </c>
      <c r="E93" s="21" t="inlineStr">
        <is>
          <t>CODIRESIST, 5 L</t>
        </is>
      </c>
      <c r="F93" s="22" t="n">
        <v>0</v>
      </c>
      <c r="G93" s="23" t="n">
        <v>0</v>
      </c>
      <c r="H93" s="22">
        <f>ABS(G93-F93)</f>
        <v/>
      </c>
      <c r="I93" s="24">
        <f>IF(F93&gt;0, G93/F93, IF(G93&gt;0, 1.0, 0.0))</f>
        <v/>
      </c>
      <c r="J93" s="25">
        <f>IF(F93&gt;0, 1.0 - (H93/F93), IF(G93=0, 1.0, 0.0))</f>
        <v/>
      </c>
      <c r="K93" s="26" t="inlineStr"/>
      <c r="L93" s="27" t="n">
        <v>0</v>
      </c>
      <c r="M93" s="28" t="n">
        <v>0</v>
      </c>
      <c r="N93" s="27" t="n">
        <v>800</v>
      </c>
      <c r="O93" s="28" t="n">
        <v>800</v>
      </c>
      <c r="P93" s="27" t="n">
        <v>0</v>
      </c>
      <c r="Q93" s="28" t="n">
        <v>0</v>
      </c>
      <c r="R93" s="22">
        <f>L93+N93+P93</f>
        <v/>
      </c>
      <c r="S93" s="23">
        <f>M93+O93+Q93</f>
        <v/>
      </c>
      <c r="T93" s="29">
        <f>S93-R93</f>
        <v/>
      </c>
      <c r="U93" s="30" t="inlineStr"/>
    </row>
    <row r="94" ht="20" customHeight="1">
      <c r="B94" s="20" t="inlineStr">
        <is>
          <t>PANAMÁ</t>
        </is>
      </c>
      <c r="C94" s="21" t="inlineStr">
        <is>
          <t>SERVICIOS AGROPECUARIOS EL LLANO, S. A.</t>
        </is>
      </c>
      <c r="D94" s="20" t="inlineStr">
        <is>
          <t>FLORCR0001</t>
        </is>
      </c>
      <c r="E94" s="21" t="inlineStr">
        <is>
          <t>FLORAMEC</t>
        </is>
      </c>
      <c r="F94" s="22" t="n">
        <v>0</v>
      </c>
      <c r="G94" s="23" t="n">
        <v>0</v>
      </c>
      <c r="H94" s="22">
        <f>ABS(G94-F94)</f>
        <v/>
      </c>
      <c r="I94" s="24">
        <f>IF(F94&gt;0, G94/F94, IF(G94&gt;0, 1.0, 0.0))</f>
        <v/>
      </c>
      <c r="J94" s="25">
        <f>IF(F94&gt;0, 1.0 - (H94/F94), IF(G94=0, 1.0, 0.0))</f>
        <v/>
      </c>
      <c r="K94" s="26" t="inlineStr"/>
      <c r="L94" s="27" t="n">
        <v>0</v>
      </c>
      <c r="M94" s="28" t="n">
        <v>0</v>
      </c>
      <c r="N94" s="27" t="n">
        <v>1584</v>
      </c>
      <c r="O94" s="28" t="n">
        <v>1584</v>
      </c>
      <c r="P94" s="27" t="n">
        <v>0</v>
      </c>
      <c r="Q94" s="28" t="n">
        <v>0</v>
      </c>
      <c r="R94" s="22">
        <f>L94+N94+P94</f>
        <v/>
      </c>
      <c r="S94" s="23">
        <f>M94+O94+Q94</f>
        <v/>
      </c>
      <c r="T94" s="29">
        <f>S94-R94</f>
        <v/>
      </c>
      <c r="U94" s="30" t="inlineStr"/>
    </row>
    <row r="95" ht="20" customHeight="1">
      <c r="B95" s="20" t="inlineStr">
        <is>
          <t>PANAMÁ</t>
        </is>
      </c>
      <c r="C95" s="21" t="inlineStr">
        <is>
          <t>SERVICIOS AGROPECUARIOS EL LLANO, S. A.</t>
        </is>
      </c>
      <c r="D95" s="20" t="inlineStr">
        <is>
          <t>FLORCR0005</t>
        </is>
      </c>
      <c r="E95" s="21" t="inlineStr">
        <is>
          <t>FLORAMEC</t>
        </is>
      </c>
      <c r="F95" s="22" t="n">
        <v>0</v>
      </c>
      <c r="G95" s="23" t="n">
        <v>0</v>
      </c>
      <c r="H95" s="22">
        <f>ABS(G95-F95)</f>
        <v/>
      </c>
      <c r="I95" s="24">
        <f>IF(F95&gt;0, G95/F95, IF(G95&gt;0, 1.0, 0.0))</f>
        <v/>
      </c>
      <c r="J95" s="25">
        <f>IF(F95&gt;0, 1.0 - (H95/F95), IF(G95=0, 1.0, 0.0))</f>
        <v/>
      </c>
      <c r="K95" s="26" t="inlineStr"/>
      <c r="L95" s="27" t="n">
        <v>0</v>
      </c>
      <c r="M95" s="28" t="n">
        <v>0</v>
      </c>
      <c r="N95" s="27" t="n">
        <v>400</v>
      </c>
      <c r="O95" s="28" t="n">
        <v>400</v>
      </c>
      <c r="P95" s="27" t="n">
        <v>0</v>
      </c>
      <c r="Q95" s="28" t="n">
        <v>0</v>
      </c>
      <c r="R95" s="22">
        <f>L95+N95+P95</f>
        <v/>
      </c>
      <c r="S95" s="23">
        <f>M95+O95+Q95</f>
        <v/>
      </c>
      <c r="T95" s="29">
        <f>S95-R95</f>
        <v/>
      </c>
      <c r="U95" s="30" t="inlineStr"/>
    </row>
    <row r="96" ht="20" customHeight="1">
      <c r="B96" s="20" t="inlineStr">
        <is>
          <t>PANAMÁ</t>
        </is>
      </c>
      <c r="C96" s="21" t="inlineStr">
        <is>
          <t>SERVICIOS AGROPECUARIOS EL LLANO, S. A.</t>
        </is>
      </c>
      <c r="D96" s="20" t="inlineStr">
        <is>
          <t>G0001</t>
        </is>
      </c>
      <c r="E96" s="21" t="inlineStr">
        <is>
          <t>TRANSLOCADOR</t>
        </is>
      </c>
      <c r="F96" s="22" t="n">
        <v>0</v>
      </c>
      <c r="G96" s="23" t="n">
        <v>0</v>
      </c>
      <c r="H96" s="22">
        <f>ABS(G96-F96)</f>
        <v/>
      </c>
      <c r="I96" s="24">
        <f>IF(F96&gt;0, G96/F96, IF(G96&gt;0, 1.0, 0.0))</f>
        <v/>
      </c>
      <c r="J96" s="25">
        <f>IF(F96&gt;0, 1.0 - (H96/F96), IF(G96=0, 1.0, 0.0))</f>
        <v/>
      </c>
      <c r="K96" s="26" t="inlineStr"/>
      <c r="L96" s="27" t="n">
        <v>0</v>
      </c>
      <c r="M96" s="28" t="n">
        <v>0</v>
      </c>
      <c r="N96" s="27" t="n">
        <v>792</v>
      </c>
      <c r="O96" s="28" t="n">
        <v>792</v>
      </c>
      <c r="P96" s="27" t="n">
        <v>0</v>
      </c>
      <c r="Q96" s="28" t="n">
        <v>0</v>
      </c>
      <c r="R96" s="22">
        <f>L96+N96+P96</f>
        <v/>
      </c>
      <c r="S96" s="23">
        <f>M96+O96+Q96</f>
        <v/>
      </c>
      <c r="T96" s="29">
        <f>S96-R96</f>
        <v/>
      </c>
      <c r="U96" s="30" t="inlineStr"/>
    </row>
    <row r="97" ht="20" customHeight="1">
      <c r="B97" s="20" t="inlineStr">
        <is>
          <t>PANAMÁ</t>
        </is>
      </c>
      <c r="C97" s="21" t="inlineStr">
        <is>
          <t>SERVICIOS AGROPECUARIOS EL LLANO, S. A.</t>
        </is>
      </c>
      <c r="D97" s="20" t="inlineStr">
        <is>
          <t>G0005</t>
        </is>
      </c>
      <c r="E97" s="21" t="inlineStr">
        <is>
          <t>TRANSLOCADOR</t>
        </is>
      </c>
      <c r="F97" s="22" t="n">
        <v>0</v>
      </c>
      <c r="G97" s="23" t="n">
        <v>0</v>
      </c>
      <c r="H97" s="22">
        <f>ABS(G97-F97)</f>
        <v/>
      </c>
      <c r="I97" s="24">
        <f>IF(F97&gt;0, G97/F97, IF(G97&gt;0, 1.0, 0.0))</f>
        <v/>
      </c>
      <c r="J97" s="25">
        <f>IF(F97&gt;0, 1.0 - (H97/F97), IF(G97=0, 1.0, 0.0))</f>
        <v/>
      </c>
      <c r="K97" s="26" t="inlineStr"/>
      <c r="L97" s="27" t="n">
        <v>0</v>
      </c>
      <c r="M97" s="28" t="n">
        <v>0</v>
      </c>
      <c r="N97" s="27" t="n">
        <v>400</v>
      </c>
      <c r="O97" s="28" t="n">
        <v>400</v>
      </c>
      <c r="P97" s="27" t="n">
        <v>0</v>
      </c>
      <c r="Q97" s="28" t="n">
        <v>0</v>
      </c>
      <c r="R97" s="22">
        <f>L97+N97+P97</f>
        <v/>
      </c>
      <c r="S97" s="23">
        <f>M97+O97+Q97</f>
        <v/>
      </c>
      <c r="T97" s="29">
        <f>S97-R97</f>
        <v/>
      </c>
      <c r="U97" s="30" t="inlineStr"/>
    </row>
    <row r="98" ht="20" customHeight="1">
      <c r="B98" s="20" t="inlineStr">
        <is>
          <t>PANAMÁ</t>
        </is>
      </c>
      <c r="C98" s="21" t="inlineStr">
        <is>
          <t>SERVICIOS AGROPECUARIOS EL LLANO, S. A.</t>
        </is>
      </c>
      <c r="D98" s="20" t="inlineStr">
        <is>
          <t>PT0001</t>
        </is>
      </c>
      <c r="E98" s="21" t="inlineStr">
        <is>
          <t>POTASION PLUS</t>
        </is>
      </c>
      <c r="F98" s="22" t="n">
        <v>0</v>
      </c>
      <c r="G98" s="23" t="n">
        <v>0</v>
      </c>
      <c r="H98" s="22">
        <f>ABS(G98-F98)</f>
        <v/>
      </c>
      <c r="I98" s="24">
        <f>IF(F98&gt;0, G98/F98, IF(G98&gt;0, 1.0, 0.0))</f>
        <v/>
      </c>
      <c r="J98" s="25">
        <f>IF(F98&gt;0, 1.0 - (H98/F98), IF(G98=0, 1.0, 0.0))</f>
        <v/>
      </c>
      <c r="K98" s="26" t="inlineStr"/>
      <c r="L98" s="27" t="n">
        <v>0</v>
      </c>
      <c r="M98" s="28" t="n">
        <v>0</v>
      </c>
      <c r="N98" s="27" t="n">
        <v>528</v>
      </c>
      <c r="O98" s="28" t="n">
        <v>528</v>
      </c>
      <c r="P98" s="27" t="n">
        <v>0</v>
      </c>
      <c r="Q98" s="28" t="n">
        <v>0</v>
      </c>
      <c r="R98" s="22">
        <f>L98+N98+P98</f>
        <v/>
      </c>
      <c r="S98" s="23">
        <f>M98+O98+Q98</f>
        <v/>
      </c>
      <c r="T98" s="29">
        <f>S98-R98</f>
        <v/>
      </c>
      <c r="U98" s="30" t="inlineStr"/>
    </row>
    <row r="99" ht="20" customHeight="1">
      <c r="B99" s="20" t="inlineStr">
        <is>
          <t>PANAMÁ</t>
        </is>
      </c>
      <c r="C99" s="21" t="inlineStr">
        <is>
          <t>SERVICIOS AGROPECUARIOS EL LLANO, S. A.</t>
        </is>
      </c>
      <c r="D99" s="20" t="inlineStr">
        <is>
          <t>SS0001</t>
        </is>
      </c>
      <c r="E99" s="21" t="inlineStr">
        <is>
          <t>SAL WAX MAX</t>
        </is>
      </c>
      <c r="F99" s="22" t="n">
        <v>0</v>
      </c>
      <c r="G99" s="23" t="n">
        <v>0</v>
      </c>
      <c r="H99" s="22">
        <f>ABS(G99-F99)</f>
        <v/>
      </c>
      <c r="I99" s="24">
        <f>IF(F99&gt;0, G99/F99, IF(G99&gt;0, 1.0, 0.0))</f>
        <v/>
      </c>
      <c r="J99" s="25">
        <f>IF(F99&gt;0, 1.0 - (H99/F99), IF(G99=0, 1.0, 0.0))</f>
        <v/>
      </c>
      <c r="K99" s="26" t="inlineStr"/>
      <c r="L99" s="27" t="n">
        <v>0</v>
      </c>
      <c r="M99" s="28" t="n">
        <v>0</v>
      </c>
      <c r="N99" s="27" t="n">
        <v>528</v>
      </c>
      <c r="O99" s="28" t="n">
        <v>528</v>
      </c>
      <c r="P99" s="27" t="n">
        <v>0</v>
      </c>
      <c r="Q99" s="28" t="n">
        <v>0</v>
      </c>
      <c r="R99" s="22">
        <f>L99+N99+P99</f>
        <v/>
      </c>
      <c r="S99" s="23">
        <f>M99+O99+Q99</f>
        <v/>
      </c>
      <c r="T99" s="29">
        <f>S99-R99</f>
        <v/>
      </c>
      <c r="U99" s="30" t="inlineStr"/>
    </row>
    <row r="100" ht="20" customHeight="1">
      <c r="B100" s="20" t="inlineStr">
        <is>
          <t>ESPAÑA</t>
        </is>
      </c>
      <c r="C100" s="21" t="inlineStr">
        <is>
          <t xml:space="preserve">SERVICIOS AGROPECUARIOS EL LLANO, S. A. </t>
        </is>
      </c>
      <c r="D100" s="20" t="inlineStr">
        <is>
          <t>A-500001</t>
        </is>
      </c>
      <c r="E100" s="21" t="inlineStr">
        <is>
          <t>CODIORGAN-A50, 1 KG</t>
        </is>
      </c>
      <c r="F100" s="22" t="n">
        <v>0</v>
      </c>
      <c r="G100" s="23" t="n">
        <v>368</v>
      </c>
      <c r="H100" s="22">
        <f>ABS(G100-F100)</f>
        <v/>
      </c>
      <c r="I100" s="24">
        <f>IF(F100&gt;0, G100/F100, IF(G100&gt;0, 1.0, 0.0))</f>
        <v/>
      </c>
      <c r="J100" s="25">
        <f>IF(F100&gt;0, 1.0 - (H100/F100), IF(G100=0, 1.0, 0.0))</f>
        <v/>
      </c>
      <c r="K100" s="26" t="inlineStr">
        <is>
          <t>Pedido extra no previsto</t>
        </is>
      </c>
      <c r="L100" s="27" t="n">
        <v>0</v>
      </c>
      <c r="M100" s="28" t="n">
        <v>0</v>
      </c>
      <c r="N100" s="27" t="n">
        <v>0</v>
      </c>
      <c r="O100" s="28" t="n">
        <v>0</v>
      </c>
      <c r="P100" s="27" t="n">
        <v>0</v>
      </c>
      <c r="Q100" s="28" t="n">
        <v>0</v>
      </c>
      <c r="R100" s="22">
        <f>L100+N100+P100</f>
        <v/>
      </c>
      <c r="S100" s="23">
        <f>M100+O100+Q100</f>
        <v/>
      </c>
      <c r="T100" s="29">
        <f>S100-R100</f>
        <v/>
      </c>
      <c r="U100" s="30" t="inlineStr"/>
    </row>
    <row r="101" ht="20" customHeight="1">
      <c r="B101" s="20" t="inlineStr">
        <is>
          <t>ESPAÑA</t>
        </is>
      </c>
      <c r="C101" s="21" t="inlineStr">
        <is>
          <t xml:space="preserve">SERVICIOS AGROPECUARIOS EL LLANO, S. A. </t>
        </is>
      </c>
      <c r="D101" s="20" t="inlineStr">
        <is>
          <t>AGXCR0001</t>
        </is>
      </c>
      <c r="E101" s="21" t="inlineStr">
        <is>
          <t>AGROXILATO-K, 1 L</t>
        </is>
      </c>
      <c r="F101" s="22" t="n">
        <v>0</v>
      </c>
      <c r="G101" s="23" t="n">
        <v>540</v>
      </c>
      <c r="H101" s="22">
        <f>ABS(G101-F101)</f>
        <v/>
      </c>
      <c r="I101" s="24">
        <f>IF(F101&gt;0, G101/F101, IF(G101&gt;0, 1.0, 0.0))</f>
        <v/>
      </c>
      <c r="J101" s="25">
        <f>IF(F101&gt;0, 1.0 - (H101/F101), IF(G101=0, 1.0, 0.0))</f>
        <v/>
      </c>
      <c r="K101" s="26" t="inlineStr">
        <is>
          <t>Pedido extra no previsto</t>
        </is>
      </c>
      <c r="L101" s="27" t="n">
        <v>0</v>
      </c>
      <c r="M101" s="28" t="n">
        <v>0</v>
      </c>
      <c r="N101" s="27" t="n">
        <v>0</v>
      </c>
      <c r="O101" s="28" t="n">
        <v>0</v>
      </c>
      <c r="P101" s="27" t="n">
        <v>0</v>
      </c>
      <c r="Q101" s="28" t="n">
        <v>0</v>
      </c>
      <c r="R101" s="22">
        <f>L101+N101+P101</f>
        <v/>
      </c>
      <c r="S101" s="23">
        <f>M101+O101+Q101</f>
        <v/>
      </c>
      <c r="T101" s="29">
        <f>S101-R101</f>
        <v/>
      </c>
      <c r="U101" s="30" t="inlineStr"/>
    </row>
    <row r="102" ht="20" customHeight="1">
      <c r="B102" s="20" t="inlineStr">
        <is>
          <t>ESPAÑA</t>
        </is>
      </c>
      <c r="C102" s="21" t="inlineStr">
        <is>
          <t xml:space="preserve">SERVICIOS AGROPECUARIOS EL LLANO, S. A. </t>
        </is>
      </c>
      <c r="D102" s="20" t="inlineStr">
        <is>
          <t>AGXCR0005</t>
        </is>
      </c>
      <c r="E102" s="21" t="inlineStr">
        <is>
          <t>AGROXILATO-K, 5 L</t>
        </is>
      </c>
      <c r="F102" s="22" t="n">
        <v>0</v>
      </c>
      <c r="G102" s="23" t="n">
        <v>300</v>
      </c>
      <c r="H102" s="22">
        <f>ABS(G102-F102)</f>
        <v/>
      </c>
      <c r="I102" s="24">
        <f>IF(F102&gt;0, G102/F102, IF(G102&gt;0, 1.0, 0.0))</f>
        <v/>
      </c>
      <c r="J102" s="25">
        <f>IF(F102&gt;0, 1.0 - (H102/F102), IF(G102=0, 1.0, 0.0))</f>
        <v/>
      </c>
      <c r="K102" s="26" t="inlineStr">
        <is>
          <t>Pedido extra no previsto</t>
        </is>
      </c>
      <c r="L102" s="27" t="n">
        <v>0</v>
      </c>
      <c r="M102" s="28" t="n">
        <v>0</v>
      </c>
      <c r="N102" s="27" t="n">
        <v>0</v>
      </c>
      <c r="O102" s="28" t="n">
        <v>0</v>
      </c>
      <c r="P102" s="27" t="n">
        <v>0</v>
      </c>
      <c r="Q102" s="28" t="n">
        <v>0</v>
      </c>
      <c r="R102" s="22">
        <f>L102+N102+P102</f>
        <v/>
      </c>
      <c r="S102" s="23">
        <f>M102+O102+Q102</f>
        <v/>
      </c>
      <c r="T102" s="29">
        <f>S102-R102</f>
        <v/>
      </c>
      <c r="U102" s="30" t="inlineStr"/>
    </row>
    <row r="103" ht="20" customHeight="1">
      <c r="B103" s="20" t="inlineStr">
        <is>
          <t>ESPAÑA</t>
        </is>
      </c>
      <c r="C103" s="21" t="inlineStr">
        <is>
          <t xml:space="preserve">SERVICIOS AGROPECUARIOS EL LLANO, S. A. </t>
        </is>
      </c>
      <c r="D103" s="20" t="inlineStr">
        <is>
          <t>AN0005</t>
        </is>
      </c>
      <c r="E103" s="21" t="inlineStr">
        <is>
          <t>ALCAPLANT, 5 KG</t>
        </is>
      </c>
      <c r="F103" s="22" t="n">
        <v>0</v>
      </c>
      <c r="G103" s="23" t="n">
        <v>7920</v>
      </c>
      <c r="H103" s="22">
        <f>ABS(G103-F103)</f>
        <v/>
      </c>
      <c r="I103" s="24">
        <f>IF(F103&gt;0, G103/F103, IF(G103&gt;0, 1.0, 0.0))</f>
        <v/>
      </c>
      <c r="J103" s="25">
        <f>IF(F103&gt;0, 1.0 - (H103/F103), IF(G103=0, 1.0, 0.0))</f>
        <v/>
      </c>
      <c r="K103" s="26" t="inlineStr">
        <is>
          <t>Pedido extra no previsto</t>
        </is>
      </c>
      <c r="L103" s="27" t="n">
        <v>0</v>
      </c>
      <c r="M103" s="28" t="n">
        <v>0</v>
      </c>
      <c r="N103" s="27" t="n">
        <v>0</v>
      </c>
      <c r="O103" s="28" t="n">
        <v>0</v>
      </c>
      <c r="P103" s="27" t="n">
        <v>0</v>
      </c>
      <c r="Q103" s="28" t="n">
        <v>0</v>
      </c>
      <c r="R103" s="22">
        <f>L103+N103+P103</f>
        <v/>
      </c>
      <c r="S103" s="23">
        <f>M103+O103+Q103</f>
        <v/>
      </c>
      <c r="T103" s="29">
        <f>S103-R103</f>
        <v/>
      </c>
      <c r="U103" s="30" t="inlineStr"/>
    </row>
    <row r="104" ht="20" customHeight="1">
      <c r="B104" s="20" t="inlineStr">
        <is>
          <t>ESPAÑA</t>
        </is>
      </c>
      <c r="C104" s="21" t="inlineStr">
        <is>
          <t xml:space="preserve">SERVICIOS AGROPECUARIOS EL LLANO, S. A. </t>
        </is>
      </c>
      <c r="D104" s="20" t="inlineStr">
        <is>
          <t>B0001</t>
        </is>
      </c>
      <c r="E104" s="21" t="inlineStr">
        <is>
          <t>FORTALEZA,1 L</t>
        </is>
      </c>
      <c r="F104" s="22" t="n">
        <v>0</v>
      </c>
      <c r="G104" s="23" t="n">
        <v>540</v>
      </c>
      <c r="H104" s="22">
        <f>ABS(G104-F104)</f>
        <v/>
      </c>
      <c r="I104" s="24">
        <f>IF(F104&gt;0, G104/F104, IF(G104&gt;0, 1.0, 0.0))</f>
        <v/>
      </c>
      <c r="J104" s="25">
        <f>IF(F104&gt;0, 1.0 - (H104/F104), IF(G104=0, 1.0, 0.0))</f>
        <v/>
      </c>
      <c r="K104" s="26" t="inlineStr">
        <is>
          <t>Pedido extra no previsto</t>
        </is>
      </c>
      <c r="L104" s="27" t="n">
        <v>0</v>
      </c>
      <c r="M104" s="28" t="n">
        <v>0</v>
      </c>
      <c r="N104" s="27" t="n">
        <v>0</v>
      </c>
      <c r="O104" s="28" t="n">
        <v>0</v>
      </c>
      <c r="P104" s="27" t="n">
        <v>0</v>
      </c>
      <c r="Q104" s="28" t="n">
        <v>0</v>
      </c>
      <c r="R104" s="22">
        <f>L104+N104+P104</f>
        <v/>
      </c>
      <c r="S104" s="23">
        <f>M104+O104+Q104</f>
        <v/>
      </c>
      <c r="T104" s="29">
        <f>S104-R104</f>
        <v/>
      </c>
      <c r="U104" s="30" t="inlineStr"/>
    </row>
    <row r="105" ht="20" customHeight="1">
      <c r="B105" s="20" t="inlineStr">
        <is>
          <t>ESPAÑA</t>
        </is>
      </c>
      <c r="C105" s="21" t="inlineStr">
        <is>
          <t xml:space="preserve">SERVICIOS AGROPECUARIOS EL LLANO, S. A. </t>
        </is>
      </c>
      <c r="D105" s="20" t="inlineStr">
        <is>
          <t>C-CU0001</t>
        </is>
      </c>
      <c r="E105" s="21" t="inlineStr">
        <is>
          <t>CODICOBRE, 1 L</t>
        </is>
      </c>
      <c r="F105" s="22" t="n">
        <v>0</v>
      </c>
      <c r="G105" s="23" t="n">
        <v>840</v>
      </c>
      <c r="H105" s="22">
        <f>ABS(G105-F105)</f>
        <v/>
      </c>
      <c r="I105" s="24">
        <f>IF(F105&gt;0, G105/F105, IF(G105&gt;0, 1.0, 0.0))</f>
        <v/>
      </c>
      <c r="J105" s="25">
        <f>IF(F105&gt;0, 1.0 - (H105/F105), IF(G105=0, 1.0, 0.0))</f>
        <v/>
      </c>
      <c r="K105" s="26" t="inlineStr">
        <is>
          <t>Pedido extra no previsto</t>
        </is>
      </c>
      <c r="L105" s="27" t="n">
        <v>0</v>
      </c>
      <c r="M105" s="28" t="n">
        <v>0</v>
      </c>
      <c r="N105" s="27" t="n">
        <v>0</v>
      </c>
      <c r="O105" s="28" t="n">
        <v>0</v>
      </c>
      <c r="P105" s="27" t="n">
        <v>0</v>
      </c>
      <c r="Q105" s="28" t="n">
        <v>0</v>
      </c>
      <c r="R105" s="22">
        <f>L105+N105+P105</f>
        <v/>
      </c>
      <c r="S105" s="23">
        <f>M105+O105+Q105</f>
        <v/>
      </c>
      <c r="T105" s="29">
        <f>S105-R105</f>
        <v/>
      </c>
      <c r="U105" s="30" t="inlineStr"/>
    </row>
    <row r="106" ht="20" customHeight="1">
      <c r="B106" s="20" t="inlineStr">
        <is>
          <t>ESPAÑA</t>
        </is>
      </c>
      <c r="C106" s="21" t="inlineStr">
        <is>
          <t xml:space="preserve">SERVICIOS AGROPECUARIOS EL LLANO, S. A. </t>
        </is>
      </c>
      <c r="D106" s="20" t="inlineStr">
        <is>
          <t>C-CU0005</t>
        </is>
      </c>
      <c r="E106" s="21" t="inlineStr">
        <is>
          <t>CODICOBRE, 5 L</t>
        </is>
      </c>
      <c r="F106" s="22" t="n">
        <v>0</v>
      </c>
      <c r="G106" s="23" t="n">
        <v>600</v>
      </c>
      <c r="H106" s="22">
        <f>ABS(G106-F106)</f>
        <v/>
      </c>
      <c r="I106" s="24">
        <f>IF(F106&gt;0, G106/F106, IF(G106&gt;0, 1.0, 0.0))</f>
        <v/>
      </c>
      <c r="J106" s="25">
        <f>IF(F106&gt;0, 1.0 - (H106/F106), IF(G106=0, 1.0, 0.0))</f>
        <v/>
      </c>
      <c r="K106" s="26" t="inlineStr">
        <is>
          <t>Pedido extra no previsto</t>
        </is>
      </c>
      <c r="L106" s="27" t="n">
        <v>0</v>
      </c>
      <c r="M106" s="28" t="n">
        <v>0</v>
      </c>
      <c r="N106" s="27" t="n">
        <v>0</v>
      </c>
      <c r="O106" s="28" t="n">
        <v>0</v>
      </c>
      <c r="P106" s="27" t="n">
        <v>0</v>
      </c>
      <c r="Q106" s="28" t="n">
        <v>0</v>
      </c>
      <c r="R106" s="22">
        <f>L106+N106+P106</f>
        <v/>
      </c>
      <c r="S106" s="23">
        <f>M106+O106+Q106</f>
        <v/>
      </c>
      <c r="T106" s="29">
        <f>S106-R106</f>
        <v/>
      </c>
      <c r="U106" s="30" t="inlineStr"/>
    </row>
    <row r="107" ht="20" customHeight="1">
      <c r="B107" s="20" t="inlineStr">
        <is>
          <t>ESPAÑA</t>
        </is>
      </c>
      <c r="C107" s="21" t="inlineStr">
        <is>
          <t xml:space="preserve">SERVICIOS AGROPECUARIOS EL LLANO, S. A. </t>
        </is>
      </c>
      <c r="D107" s="20" t="inlineStr">
        <is>
          <t>SERVFLETE</t>
        </is>
      </c>
      <c r="E107" s="21" t="inlineStr">
        <is>
          <t>FREIGHT</t>
        </is>
      </c>
      <c r="F107" s="22" t="n">
        <v>0</v>
      </c>
      <c r="G107" s="23" t="n">
        <v>1</v>
      </c>
      <c r="H107" s="22">
        <f>ABS(G107-F107)</f>
        <v/>
      </c>
      <c r="I107" s="24">
        <f>IF(F107&gt;0, G107/F107, IF(G107&gt;0, 1.0, 0.0))</f>
        <v/>
      </c>
      <c r="J107" s="25">
        <f>IF(F107&gt;0, 1.0 - (H107/F107), IF(G107=0, 1.0, 0.0))</f>
        <v/>
      </c>
      <c r="K107" s="26" t="inlineStr">
        <is>
          <t>Pedido extra no previsto</t>
        </is>
      </c>
      <c r="L107" s="27" t="n">
        <v>0</v>
      </c>
      <c r="M107" s="28" t="n">
        <v>0</v>
      </c>
      <c r="N107" s="27" t="n">
        <v>0</v>
      </c>
      <c r="O107" s="28" t="n">
        <v>0</v>
      </c>
      <c r="P107" s="27" t="n">
        <v>0</v>
      </c>
      <c r="Q107" s="28" t="n">
        <v>0</v>
      </c>
      <c r="R107" s="22">
        <f>L107+N107+P107</f>
        <v/>
      </c>
      <c r="S107" s="23">
        <f>M107+O107+Q107</f>
        <v/>
      </c>
      <c r="T107" s="29">
        <f>S107-R107</f>
        <v/>
      </c>
      <c r="U107" s="30" t="inlineStr"/>
    </row>
    <row r="108" ht="20" customHeight="1">
      <c r="B108" s="20" t="inlineStr">
        <is>
          <t>ESPAÑA</t>
        </is>
      </c>
      <c r="C108" s="21" t="inlineStr">
        <is>
          <t xml:space="preserve">SERVICIOS AGROPECUARIOS EL LLANO, S. A. </t>
        </is>
      </c>
      <c r="D108" s="20" t="inlineStr">
        <is>
          <t>SERVSEGURO</t>
        </is>
      </c>
      <c r="E108" s="21" t="inlineStr">
        <is>
          <t>INSURANCE</t>
        </is>
      </c>
      <c r="F108" s="22" t="n">
        <v>0</v>
      </c>
      <c r="G108" s="23" t="n">
        <v>1</v>
      </c>
      <c r="H108" s="22">
        <f>ABS(G108-F108)</f>
        <v/>
      </c>
      <c r="I108" s="24">
        <f>IF(F108&gt;0, G108/F108, IF(G108&gt;0, 1.0, 0.0))</f>
        <v/>
      </c>
      <c r="J108" s="25">
        <f>IF(F108&gt;0, 1.0 - (H108/F108), IF(G108=0, 1.0, 0.0))</f>
        <v/>
      </c>
      <c r="K108" s="26" t="inlineStr">
        <is>
          <t>Pedido extra no previsto</t>
        </is>
      </c>
      <c r="L108" s="27" t="n">
        <v>0</v>
      </c>
      <c r="M108" s="28" t="n">
        <v>0</v>
      </c>
      <c r="N108" s="27" t="n">
        <v>0</v>
      </c>
      <c r="O108" s="28" t="n">
        <v>0</v>
      </c>
      <c r="P108" s="27" t="n">
        <v>0</v>
      </c>
      <c r="Q108" s="28" t="n">
        <v>0</v>
      </c>
      <c r="R108" s="22">
        <f>L108+N108+P108</f>
        <v/>
      </c>
      <c r="S108" s="23">
        <f>M108+O108+Q108</f>
        <v/>
      </c>
      <c r="T108" s="29">
        <f>S108-R108</f>
        <v/>
      </c>
      <c r="U108" s="30" t="inlineStr"/>
    </row>
    <row r="109" ht="20" customHeight="1">
      <c r="B109" s="20" t="inlineStr">
        <is>
          <t>ESPAÑA</t>
        </is>
      </c>
      <c r="C109" s="21" t="inlineStr">
        <is>
          <t xml:space="preserve">SERVICIOS AGROPECUARIOS EL LLANO, S. A. </t>
        </is>
      </c>
      <c r="D109" s="20" t="inlineStr">
        <is>
          <t>SPCE0001</t>
        </is>
      </c>
      <c r="E109" s="21" t="inlineStr">
        <is>
          <t>SPRINTENE ABONO CE, 1 L</t>
        </is>
      </c>
      <c r="F109" s="22" t="n">
        <v>0</v>
      </c>
      <c r="G109" s="23" t="n">
        <v>180</v>
      </c>
      <c r="H109" s="22">
        <f>ABS(G109-F109)</f>
        <v/>
      </c>
      <c r="I109" s="24">
        <f>IF(F109&gt;0, G109/F109, IF(G109&gt;0, 1.0, 0.0))</f>
        <v/>
      </c>
      <c r="J109" s="25">
        <f>IF(F109&gt;0, 1.0 - (H109/F109), IF(G109=0, 1.0, 0.0))</f>
        <v/>
      </c>
      <c r="K109" s="26" t="inlineStr">
        <is>
          <t>Pedido extra no previsto</t>
        </is>
      </c>
      <c r="L109" s="27" t="n">
        <v>0</v>
      </c>
      <c r="M109" s="28" t="n">
        <v>0</v>
      </c>
      <c r="N109" s="27" t="n">
        <v>0</v>
      </c>
      <c r="O109" s="28" t="n">
        <v>0</v>
      </c>
      <c r="P109" s="27" t="n">
        <v>0</v>
      </c>
      <c r="Q109" s="28" t="n">
        <v>0</v>
      </c>
      <c r="R109" s="22">
        <f>L109+N109+P109</f>
        <v/>
      </c>
      <c r="S109" s="23">
        <f>M109+O109+Q109</f>
        <v/>
      </c>
      <c r="T109" s="29">
        <f>S109-R109</f>
        <v/>
      </c>
      <c r="U109" s="30" t="inlineStr"/>
    </row>
    <row r="110" ht="20" customHeight="1">
      <c r="B110" s="20" t="inlineStr">
        <is>
          <t>ESPAÑA</t>
        </is>
      </c>
      <c r="C110" s="21" t="inlineStr">
        <is>
          <t xml:space="preserve">SERVICIOS AGROPECUARIOS EL LLANO, S. A. </t>
        </is>
      </c>
      <c r="D110" s="20" t="inlineStr">
        <is>
          <t>SS0001</t>
        </is>
      </c>
      <c r="E110" s="21" t="inlineStr">
        <is>
          <t>SAL WAX MAX, 1 KG</t>
        </is>
      </c>
      <c r="F110" s="22" t="n">
        <v>0</v>
      </c>
      <c r="G110" s="23" t="n">
        <v>1584</v>
      </c>
      <c r="H110" s="22">
        <f>ABS(G110-F110)</f>
        <v/>
      </c>
      <c r="I110" s="24">
        <f>IF(F110&gt;0, G110/F110, IF(G110&gt;0, 1.0, 0.0))</f>
        <v/>
      </c>
      <c r="J110" s="25">
        <f>IF(F110&gt;0, 1.0 - (H110/F110), IF(G110=0, 1.0, 0.0))</f>
        <v/>
      </c>
      <c r="K110" s="26" t="inlineStr">
        <is>
          <t>Pedido extra no previsto</t>
        </is>
      </c>
      <c r="L110" s="27" t="n">
        <v>0</v>
      </c>
      <c r="M110" s="28" t="n">
        <v>0</v>
      </c>
      <c r="N110" s="27" t="n">
        <v>0</v>
      </c>
      <c r="O110" s="28" t="n">
        <v>0</v>
      </c>
      <c r="P110" s="27" t="n">
        <v>0</v>
      </c>
      <c r="Q110" s="28" t="n">
        <v>0</v>
      </c>
      <c r="R110" s="22">
        <f>L110+N110+P110</f>
        <v/>
      </c>
      <c r="S110" s="23">
        <f>M110+O110+Q110</f>
        <v/>
      </c>
      <c r="T110" s="29">
        <f>S110-R110</f>
        <v/>
      </c>
      <c r="U110" s="30" t="inlineStr"/>
    </row>
    <row r="111" ht="25" customHeight="1">
      <c r="B111" s="31" t="inlineStr">
        <is>
          <t>TOTAL CONSOLIDADO - RICARDO (UNIDADES)</t>
        </is>
      </c>
      <c r="C111" s="32" t="n"/>
      <c r="D111" s="32" t="n"/>
      <c r="E111" s="32" t="n"/>
      <c r="F111" s="33">
        <f>SUM(F10:F110)</f>
        <v/>
      </c>
      <c r="G111" s="33">
        <f>SUM(G10:G110)</f>
        <v/>
      </c>
      <c r="H111" s="33">
        <f>SUM(H10:H110)</f>
        <v/>
      </c>
      <c r="I111" s="34">
        <f>IF(F111&gt;0, G111/F111, 1.0)</f>
        <v/>
      </c>
      <c r="J111" s="34">
        <f>IF(F111&gt;0, 1.0 - (H111/F111), 1.0)</f>
        <v/>
      </c>
      <c r="K111" s="35" t="n"/>
      <c r="L111" s="33">
        <f>SUM(L10:L110)</f>
        <v/>
      </c>
      <c r="M111" s="33">
        <f>SUM(M10:M110)</f>
        <v/>
      </c>
      <c r="N111" s="33">
        <f>SUM(N10:N110)</f>
        <v/>
      </c>
      <c r="O111" s="33">
        <f>SUM(O10:O110)</f>
        <v/>
      </c>
      <c r="P111" s="33">
        <f>SUM(P10:P110)</f>
        <v/>
      </c>
      <c r="Q111" s="33">
        <f>SUM(Q10:Q110)</f>
        <v/>
      </c>
      <c r="R111" s="33">
        <f>SUM(R10:R110)</f>
        <v/>
      </c>
      <c r="S111" s="33">
        <f>SUM(S10:S110)</f>
        <v/>
      </c>
      <c r="T111" s="36">
        <f>SUM(T10:T110)</f>
        <v/>
      </c>
      <c r="U111" s="35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B111:E111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2026-10-01T12:02:02Z</dcterms:created>
  <dcterms:modified xmlns:dcterms="http://purl.org/dc/terms/" xmlns:xsi="http://www.w3.org/2001/XMLSchema-instance" xsi:type="dcterms:W3CDTF">2026-10-01T12:02:02Z</dcterms:modified>
</cp:coreProperties>
</file>