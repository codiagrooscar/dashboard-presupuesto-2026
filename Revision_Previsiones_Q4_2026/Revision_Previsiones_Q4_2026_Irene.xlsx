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Ire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14:16</t>
        </is>
      </c>
    </row>
    <row r="4" ht="26" customHeight="1">
      <c r="B4" s="3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5" t="n"/>
      <c r="K5" s="4" t="inlineStr">
        <is>
          <t>PREVISIÓN INICIAL Q4 (U)</t>
        </is>
      </c>
      <c r="L5" s="5" t="n"/>
      <c r="M5" s="5" t="n"/>
      <c r="N5" s="6" t="inlineStr">
        <is>
          <t>PREVISIÓN REVISADA Q4 (U)</t>
        </is>
      </c>
      <c r="O5" s="5" t="n"/>
      <c r="P5" s="5" t="n"/>
      <c r="Q5" s="8" t="inlineStr">
        <is>
          <t>VARIACIÓN NETA Q4 (U)</t>
        </is>
      </c>
      <c r="R5" s="5" t="n"/>
      <c r="S5" s="5" t="n"/>
      <c r="T5" s="5" t="n"/>
    </row>
    <row r="6" ht="26" customHeight="1">
      <c r="B6" s="9">
        <f>F74</f>
        <v/>
      </c>
      <c r="C6" s="5" t="n"/>
      <c r="D6" s="5" t="n"/>
      <c r="E6" s="10">
        <f>G74</f>
        <v/>
      </c>
      <c r="F6" s="5" t="n"/>
      <c r="G6" s="5" t="n"/>
      <c r="H6" s="11">
        <f>I74</f>
        <v/>
      </c>
      <c r="I6" s="5" t="n"/>
      <c r="J6" s="5" t="n"/>
      <c r="K6" s="9">
        <f>Q74</f>
        <v/>
      </c>
      <c r="L6" s="5" t="n"/>
      <c r="M6" s="5" t="n"/>
      <c r="N6" s="10">
        <f>R74</f>
        <v/>
      </c>
      <c r="O6" s="5" t="n"/>
      <c r="P6" s="5" t="n"/>
      <c r="Q6" s="12">
        <f>S74</f>
        <v/>
      </c>
      <c r="R6" s="5" t="n"/>
      <c r="S6" s="5" t="n"/>
      <c r="T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K8" s="15" t="inlineStr">
        <is>
          <t>REVISIÓN PREVISIONES MES A MES (HASTA FINAL DE AÑO 2026)</t>
        </is>
      </c>
      <c r="Q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Comentario Sep (¿Adelanto/Atraso/Extra?)</t>
        </is>
      </c>
      <c r="K9" s="19" t="inlineStr">
        <is>
          <t>Oct Anterior (u)</t>
        </is>
      </c>
      <c r="L9" s="19" t="inlineStr">
        <is>
          <t>Oct Revisado (u)</t>
        </is>
      </c>
      <c r="M9" s="19" t="inlineStr">
        <is>
          <t>Nov Anterior (u)</t>
        </is>
      </c>
      <c r="N9" s="19" t="inlineStr">
        <is>
          <t>Nov Revisado (u)</t>
        </is>
      </c>
      <c r="O9" s="19" t="inlineStr">
        <is>
          <t>Dic Anterior (u)</t>
        </is>
      </c>
      <c r="P9" s="19" t="inlineStr">
        <is>
          <t>Dic Revisado (u)</t>
        </is>
      </c>
      <c r="Q9" s="17" t="inlineStr">
        <is>
          <t>Total Q4 Ant (u)</t>
        </is>
      </c>
      <c r="R9" s="17" t="inlineStr">
        <is>
          <t>Total Q4 Rev (u)</t>
        </is>
      </c>
      <c r="S9" s="17" t="inlineStr">
        <is>
          <t>Dif Q4 (u)</t>
        </is>
      </c>
      <c r="T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CAMPOEJIDO S.C.A.</t>
        </is>
      </c>
      <c r="D10" s="20" t="inlineStr">
        <is>
          <t>A-50(2)0005</t>
        </is>
      </c>
      <c r="E10" s="21" t="inlineStr">
        <is>
          <t>CODIORGAN-A50, 5 KG</t>
        </is>
      </c>
      <c r="F10" s="22" t="n">
        <v>200</v>
      </c>
      <c r="G10" s="23" t="n">
        <v>100</v>
      </c>
      <c r="H10" s="22">
        <f>ABS(G10-F10)</f>
        <v/>
      </c>
      <c r="I10" s="24">
        <f>IF(F10&gt;0, G10/F10, IF(G10&gt;0, 1.0, 0.0))</f>
        <v/>
      </c>
      <c r="J10" s="25" t="inlineStr"/>
      <c r="K10" s="26" t="n">
        <v>0</v>
      </c>
      <c r="L10" s="27" t="n">
        <v>0</v>
      </c>
      <c r="M10" s="26" t="n">
        <v>0</v>
      </c>
      <c r="N10" s="27" t="n">
        <v>0</v>
      </c>
      <c r="O10" s="26" t="n">
        <v>200</v>
      </c>
      <c r="P10" s="27" t="n">
        <v>200</v>
      </c>
      <c r="Q10" s="22">
        <f>K10+M10+O10</f>
        <v/>
      </c>
      <c r="R10" s="23">
        <f>L10+N10+P10</f>
        <v/>
      </c>
      <c r="S10" s="28">
        <f>R10-Q10</f>
        <v/>
      </c>
      <c r="T10" s="29" t="inlineStr"/>
    </row>
    <row r="11" ht="20" customHeight="1">
      <c r="B11" s="20" t="inlineStr">
        <is>
          <t>ESPAÑA</t>
        </is>
      </c>
      <c r="C11" s="21" t="inlineStr">
        <is>
          <t>CAMPOEJIDO S.C.A.</t>
        </is>
      </c>
      <c r="D11" s="20" t="inlineStr">
        <is>
          <t>AGN0005</t>
        </is>
      </c>
      <c r="E11" s="21" t="inlineStr">
        <is>
          <t>AGROXILATO N, 5 L</t>
        </is>
      </c>
      <c r="F11" s="22" t="n">
        <v>0</v>
      </c>
      <c r="G11" s="23" t="n">
        <v>20</v>
      </c>
      <c r="H11" s="22">
        <f>ABS(G11-F11)</f>
        <v/>
      </c>
      <c r="I11" s="24">
        <f>IF(F11&gt;0, G11/F11, IF(G11&gt;0, 1.0, 0.0))</f>
        <v/>
      </c>
      <c r="J11" s="25" t="inlineStr">
        <is>
          <t>Pedido extra no previsto</t>
        </is>
      </c>
      <c r="K11" s="26" t="n">
        <v>0</v>
      </c>
      <c r="L11" s="27" t="n">
        <v>0</v>
      </c>
      <c r="M11" s="26" t="n">
        <v>0</v>
      </c>
      <c r="N11" s="27" t="n">
        <v>0</v>
      </c>
      <c r="O11" s="26" t="n">
        <v>0</v>
      </c>
      <c r="P11" s="27" t="n">
        <v>0</v>
      </c>
      <c r="Q11" s="22">
        <f>K11+M11+O11</f>
        <v/>
      </c>
      <c r="R11" s="23">
        <f>L11+N11+P11</f>
        <v/>
      </c>
      <c r="S11" s="28">
        <f>R11-Q11</f>
        <v/>
      </c>
      <c r="T11" s="29" t="inlineStr"/>
    </row>
    <row r="12" ht="20" customHeight="1">
      <c r="B12" s="20" t="inlineStr">
        <is>
          <t>ESPAÑA</t>
        </is>
      </c>
      <c r="C12" s="21" t="inlineStr">
        <is>
          <t>CAMPOEJIDO S.C.A.</t>
        </is>
      </c>
      <c r="D12" s="20" t="inlineStr">
        <is>
          <t>AGXK0020</t>
        </is>
      </c>
      <c r="E12" s="21" t="inlineStr">
        <is>
          <t>AGROXILATO-K, 20 L</t>
        </is>
      </c>
      <c r="F12" s="22" t="n">
        <v>1920</v>
      </c>
      <c r="G12" s="23" t="n">
        <v>640</v>
      </c>
      <c r="H12" s="22">
        <f>ABS(G12-F12)</f>
        <v/>
      </c>
      <c r="I12" s="24">
        <f>IF(F12&gt;0, G12/F12, IF(G12&gt;0, 1.0, 0.0))</f>
        <v/>
      </c>
      <c r="J12" s="25" t="inlineStr"/>
      <c r="K12" s="26" t="n">
        <v>5060</v>
      </c>
      <c r="L12" s="27" t="n">
        <v>5060</v>
      </c>
      <c r="M12" s="26" t="n">
        <v>1920</v>
      </c>
      <c r="N12" s="27" t="n">
        <v>1920</v>
      </c>
      <c r="O12" s="26" t="n">
        <v>3200</v>
      </c>
      <c r="P12" s="27" t="n">
        <v>3200</v>
      </c>
      <c r="Q12" s="22">
        <f>K12+M12+O12</f>
        <v/>
      </c>
      <c r="R12" s="23">
        <f>L12+N12+P12</f>
        <v/>
      </c>
      <c r="S12" s="28">
        <f>R12-Q12</f>
        <v/>
      </c>
      <c r="T12" s="29" t="inlineStr"/>
    </row>
    <row r="13" ht="20" customHeight="1">
      <c r="B13" s="20" t="inlineStr">
        <is>
          <t>ESPAÑA</t>
        </is>
      </c>
      <c r="C13" s="21" t="inlineStr">
        <is>
          <t>CAMPOEJIDO S.C.A.</t>
        </is>
      </c>
      <c r="D13" s="20" t="inlineStr">
        <is>
          <t>AVAN0005</t>
        </is>
      </c>
      <c r="E13" s="21" t="inlineStr">
        <is>
          <t>FLORAMEC AVANCE, 5 L</t>
        </is>
      </c>
      <c r="F13" s="22" t="n">
        <v>300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 t="inlineStr"/>
      <c r="K13" s="26" t="n">
        <v>300</v>
      </c>
      <c r="L13" s="27" t="n">
        <v>300</v>
      </c>
      <c r="M13" s="26" t="n">
        <v>0</v>
      </c>
      <c r="N13" s="27" t="n">
        <v>0</v>
      </c>
      <c r="O13" s="26" t="n">
        <v>300</v>
      </c>
      <c r="P13" s="27" t="n">
        <v>300</v>
      </c>
      <c r="Q13" s="22">
        <f>K13+M13+O13</f>
        <v/>
      </c>
      <c r="R13" s="23">
        <f>L13+N13+P13</f>
        <v/>
      </c>
      <c r="S13" s="28">
        <f>R13-Q13</f>
        <v/>
      </c>
      <c r="T13" s="29" t="inlineStr"/>
    </row>
    <row r="14" ht="20" customHeight="1">
      <c r="B14" s="20" t="inlineStr">
        <is>
          <t>ESPAÑA</t>
        </is>
      </c>
      <c r="C14" s="21" t="inlineStr">
        <is>
          <t>CAMPOEJIDO S.C.A.</t>
        </is>
      </c>
      <c r="D14" s="20" t="inlineStr">
        <is>
          <t>AVAN0020</t>
        </is>
      </c>
      <c r="E14" s="21" t="inlineStr">
        <is>
          <t>FLORAMEC AVANCE, 20 L</t>
        </is>
      </c>
      <c r="F14" s="22" t="n">
        <v>960</v>
      </c>
      <c r="G14" s="23" t="n">
        <v>2560</v>
      </c>
      <c r="H14" s="22">
        <f>ABS(G14-F14)</f>
        <v/>
      </c>
      <c r="I14" s="24">
        <f>IF(F14&gt;0, G14/F14, IF(G14&gt;0, 1.0, 0.0))</f>
        <v/>
      </c>
      <c r="J14" s="25" t="inlineStr"/>
      <c r="K14" s="26" t="n">
        <v>640</v>
      </c>
      <c r="L14" s="27" t="n">
        <v>640</v>
      </c>
      <c r="M14" s="26" t="n">
        <v>960</v>
      </c>
      <c r="N14" s="27" t="n">
        <v>960</v>
      </c>
      <c r="O14" s="26" t="n">
        <v>1280</v>
      </c>
      <c r="P14" s="27" t="n">
        <v>1280</v>
      </c>
      <c r="Q14" s="22">
        <f>K14+M14+O14</f>
        <v/>
      </c>
      <c r="R14" s="23">
        <f>L14+N14+P14</f>
        <v/>
      </c>
      <c r="S14" s="28">
        <f>R14-Q14</f>
        <v/>
      </c>
      <c r="T14" s="29" t="inlineStr"/>
    </row>
    <row r="15" ht="20" customHeight="1">
      <c r="B15" s="20" t="inlineStr">
        <is>
          <t>ESPAÑA</t>
        </is>
      </c>
      <c r="C15" s="21" t="inlineStr">
        <is>
          <t>CAMPOEJIDO S.C.A.</t>
        </is>
      </c>
      <c r="D15" s="20" t="inlineStr">
        <is>
          <t>B0001</t>
        </is>
      </c>
      <c r="E15" s="21" t="inlineStr">
        <is>
          <t>BOROCAL,1 L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 t="inlineStr"/>
      <c r="K15" s="26" t="n">
        <v>0</v>
      </c>
      <c r="L15" s="27" t="n">
        <v>0</v>
      </c>
      <c r="M15" s="26" t="n">
        <v>0</v>
      </c>
      <c r="N15" s="27" t="n">
        <v>0</v>
      </c>
      <c r="O15" s="26" t="n">
        <v>36</v>
      </c>
      <c r="P15" s="27" t="n">
        <v>36</v>
      </c>
      <c r="Q15" s="22">
        <f>K15+M15+O15</f>
        <v/>
      </c>
      <c r="R15" s="23">
        <f>L15+N15+P15</f>
        <v/>
      </c>
      <c r="S15" s="28">
        <f>R15-Q15</f>
        <v/>
      </c>
      <c r="T15" s="29" t="inlineStr"/>
    </row>
    <row r="16" ht="20" customHeight="1">
      <c r="B16" s="20" t="inlineStr">
        <is>
          <t>ESPAÑA</t>
        </is>
      </c>
      <c r="C16" s="21" t="inlineStr">
        <is>
          <t>CAMPOEJIDO S.C.A.</t>
        </is>
      </c>
      <c r="D16" s="20" t="inlineStr">
        <is>
          <t>B0005</t>
        </is>
      </c>
      <c r="E16" s="21" t="inlineStr">
        <is>
          <t>BOROCAL, 5 L</t>
        </is>
      </c>
      <c r="F16" s="22" t="n">
        <v>0</v>
      </c>
      <c r="G16" s="23" t="n">
        <v>0</v>
      </c>
      <c r="H16" s="22">
        <f>ABS(G16-F16)</f>
        <v/>
      </c>
      <c r="I16" s="24">
        <f>IF(F16&gt;0, G16/F16, IF(G16&gt;0, 1.0, 0.0))</f>
        <v/>
      </c>
      <c r="J16" s="25" t="inlineStr"/>
      <c r="K16" s="26" t="n">
        <v>100</v>
      </c>
      <c r="L16" s="27" t="n">
        <v>100</v>
      </c>
      <c r="M16" s="26" t="n">
        <v>0</v>
      </c>
      <c r="N16" s="27" t="n">
        <v>0</v>
      </c>
      <c r="O16" s="26" t="n">
        <v>100</v>
      </c>
      <c r="P16" s="27" t="n">
        <v>100</v>
      </c>
      <c r="Q16" s="22">
        <f>K16+M16+O16</f>
        <v/>
      </c>
      <c r="R16" s="23">
        <f>L16+N16+P16</f>
        <v/>
      </c>
      <c r="S16" s="28">
        <f>R16-Q16</f>
        <v/>
      </c>
      <c r="T16" s="29" t="inlineStr"/>
    </row>
    <row r="17" ht="20" customHeight="1">
      <c r="B17" s="20" t="inlineStr">
        <is>
          <t>ESPAÑA</t>
        </is>
      </c>
      <c r="C17" s="21" t="inlineStr">
        <is>
          <t>CAMPOEJIDO S.C.A.</t>
        </is>
      </c>
      <c r="D17" s="20" t="inlineStr">
        <is>
          <t>BIO0020</t>
        </is>
      </c>
      <c r="E17" s="21" t="inlineStr">
        <is>
          <t>BIORAD-20, 20 L</t>
        </is>
      </c>
      <c r="F17" s="22" t="n">
        <v>640</v>
      </c>
      <c r="G17" s="23" t="n">
        <v>640</v>
      </c>
      <c r="H17" s="22">
        <f>ABS(G17-F17)</f>
        <v/>
      </c>
      <c r="I17" s="24">
        <f>IF(F17&gt;0, G17/F17, IF(G17&gt;0, 1.0, 0.0))</f>
        <v/>
      </c>
      <c r="J17" s="25" t="inlineStr"/>
      <c r="K17" s="26" t="n">
        <v>640</v>
      </c>
      <c r="L17" s="27" t="n">
        <v>640</v>
      </c>
      <c r="M17" s="26" t="n">
        <v>640</v>
      </c>
      <c r="N17" s="27" t="n">
        <v>640</v>
      </c>
      <c r="O17" s="26" t="n">
        <v>640</v>
      </c>
      <c r="P17" s="27" t="n">
        <v>640</v>
      </c>
      <c r="Q17" s="22">
        <f>K17+M17+O17</f>
        <v/>
      </c>
      <c r="R17" s="23">
        <f>L17+N17+P17</f>
        <v/>
      </c>
      <c r="S17" s="28">
        <f>R17-Q17</f>
        <v/>
      </c>
      <c r="T17" s="29" t="inlineStr"/>
    </row>
    <row r="18" ht="20" customHeight="1">
      <c r="B18" s="20" t="inlineStr">
        <is>
          <t>ESPAÑA</t>
        </is>
      </c>
      <c r="C18" s="21" t="inlineStr">
        <is>
          <t>CAMPOEJIDO S.C.A.</t>
        </is>
      </c>
      <c r="D18" s="20" t="inlineStr">
        <is>
          <t>BROTA0005</t>
        </is>
      </c>
      <c r="E18" s="21" t="inlineStr">
        <is>
          <t>BROTAMEC, 5 L</t>
        </is>
      </c>
      <c r="F18" s="22" t="n">
        <v>0</v>
      </c>
      <c r="G18" s="23" t="n">
        <v>0</v>
      </c>
      <c r="H18" s="22">
        <f>ABS(G18-F18)</f>
        <v/>
      </c>
      <c r="I18" s="24">
        <f>IF(F18&gt;0, G18/F18, IF(G18&gt;0, 1.0, 0.0))</f>
        <v/>
      </c>
      <c r="J18" s="25" t="inlineStr"/>
      <c r="K18" s="26" t="n">
        <v>200</v>
      </c>
      <c r="L18" s="27" t="n">
        <v>200</v>
      </c>
      <c r="M18" s="26" t="n">
        <v>100</v>
      </c>
      <c r="N18" s="27" t="n">
        <v>100</v>
      </c>
      <c r="O18" s="26" t="n">
        <v>100</v>
      </c>
      <c r="P18" s="27" t="n">
        <v>100</v>
      </c>
      <c r="Q18" s="22">
        <f>K18+M18+O18</f>
        <v/>
      </c>
      <c r="R18" s="23">
        <f>L18+N18+P18</f>
        <v/>
      </c>
      <c r="S18" s="28">
        <f>R18-Q18</f>
        <v/>
      </c>
      <c r="T18" s="29" t="inlineStr"/>
    </row>
    <row r="19" ht="20" customHeight="1">
      <c r="B19" s="20" t="inlineStr">
        <is>
          <t>ESPAÑA</t>
        </is>
      </c>
      <c r="C19" s="21" t="inlineStr">
        <is>
          <t>CAMPOEJIDO S.C.A.</t>
        </is>
      </c>
      <c r="D19" s="20" t="inlineStr">
        <is>
          <t>C-CUAE0005</t>
        </is>
      </c>
      <c r="E19" s="21" t="inlineStr">
        <is>
          <t>CUPRAMEC, 5 L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 t="inlineStr"/>
      <c r="K19" s="26" t="n">
        <v>0</v>
      </c>
      <c r="L19" s="27" t="n">
        <v>0</v>
      </c>
      <c r="M19" s="26" t="n">
        <v>600</v>
      </c>
      <c r="N19" s="27" t="n">
        <v>600</v>
      </c>
      <c r="O19" s="26" t="n">
        <v>300</v>
      </c>
      <c r="P19" s="27" t="n">
        <v>300</v>
      </c>
      <c r="Q19" s="22">
        <f>K19+M19+O19</f>
        <v/>
      </c>
      <c r="R19" s="23">
        <f>L19+N19+P19</f>
        <v/>
      </c>
      <c r="S19" s="28">
        <f>R19-Q19</f>
        <v/>
      </c>
      <c r="T19" s="29" t="inlineStr"/>
    </row>
    <row r="20" ht="20" customHeight="1">
      <c r="B20" s="20" t="inlineStr">
        <is>
          <t>ESPAÑA</t>
        </is>
      </c>
      <c r="C20" s="21" t="inlineStr">
        <is>
          <t>CAMPOEJIDO S.C.A.</t>
        </is>
      </c>
      <c r="D20" s="20" t="inlineStr">
        <is>
          <t>C-GLB0001</t>
        </is>
      </c>
      <c r="E20" s="21" t="inlineStr">
        <is>
          <t>CODIORGAN GLB, 1 KG</t>
        </is>
      </c>
      <c r="F20" s="22" t="n">
        <v>60</v>
      </c>
      <c r="G20" s="23" t="n">
        <v>0</v>
      </c>
      <c r="H20" s="22">
        <f>ABS(G20-F20)</f>
        <v/>
      </c>
      <c r="I20" s="24">
        <f>IF(F20&gt;0, G20/F20, IF(G20&gt;0, 1.0, 0.0))</f>
        <v/>
      </c>
      <c r="J20" s="25" t="inlineStr"/>
      <c r="K20" s="26" t="n">
        <v>120</v>
      </c>
      <c r="L20" s="27" t="n">
        <v>120</v>
      </c>
      <c r="M20" s="26" t="n">
        <v>108</v>
      </c>
      <c r="N20" s="27" t="n">
        <v>108</v>
      </c>
      <c r="O20" s="26" t="n">
        <v>108</v>
      </c>
      <c r="P20" s="27" t="n">
        <v>108</v>
      </c>
      <c r="Q20" s="22">
        <f>K20+M20+O20</f>
        <v/>
      </c>
      <c r="R20" s="23">
        <f>L20+N20+P20</f>
        <v/>
      </c>
      <c r="S20" s="28">
        <f>R20-Q20</f>
        <v/>
      </c>
      <c r="T20" s="29" t="inlineStr"/>
    </row>
    <row r="21" ht="20" customHeight="1">
      <c r="B21" s="20" t="inlineStr">
        <is>
          <t>ESPAÑA</t>
        </is>
      </c>
      <c r="C21" s="21" t="inlineStr">
        <is>
          <t>CAMPOEJIDO S.C.A.</t>
        </is>
      </c>
      <c r="D21" s="20" t="inlineStr">
        <is>
          <t>C-L0005</t>
        </is>
      </c>
      <c r="E21" s="21" t="inlineStr">
        <is>
          <t>CODIBOR-L, 5 L</t>
        </is>
      </c>
      <c r="F21" s="22" t="n">
        <v>300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 t="inlineStr"/>
      <c r="K21" s="26" t="n">
        <v>0</v>
      </c>
      <c r="L21" s="27" t="n">
        <v>0</v>
      </c>
      <c r="M21" s="26" t="n">
        <v>400</v>
      </c>
      <c r="N21" s="27" t="n">
        <v>400</v>
      </c>
      <c r="O21" s="26" t="n">
        <v>300</v>
      </c>
      <c r="P21" s="27" t="n">
        <v>300</v>
      </c>
      <c r="Q21" s="22">
        <f>K21+M21+O21</f>
        <v/>
      </c>
      <c r="R21" s="23">
        <f>L21+N21+P21</f>
        <v/>
      </c>
      <c r="S21" s="28">
        <f>R21-Q21</f>
        <v/>
      </c>
      <c r="T21" s="29" t="inlineStr"/>
    </row>
    <row r="22" ht="20" customHeight="1">
      <c r="B22" s="20" t="inlineStr">
        <is>
          <t>ESPAÑA</t>
        </is>
      </c>
      <c r="C22" s="21" t="inlineStr">
        <is>
          <t>CAMPOEJIDO S.C.A.</t>
        </is>
      </c>
      <c r="D22" s="20" t="inlineStr">
        <is>
          <t>C-MB0001</t>
        </is>
      </c>
      <c r="E22" s="21" t="inlineStr">
        <is>
          <t>CODIFOL-MB, 1 L</t>
        </is>
      </c>
      <c r="F22" s="22" t="n">
        <v>48</v>
      </c>
      <c r="G22" s="23" t="n">
        <v>36</v>
      </c>
      <c r="H22" s="22">
        <f>ABS(G22-F22)</f>
        <v/>
      </c>
      <c r="I22" s="24">
        <f>IF(F22&gt;0, G22/F22, IF(G22&gt;0, 1.0, 0.0))</f>
        <v/>
      </c>
      <c r="J22" s="25" t="inlineStr"/>
      <c r="K22" s="26" t="n">
        <v>0</v>
      </c>
      <c r="L22" s="27" t="n">
        <v>0</v>
      </c>
      <c r="M22" s="26" t="n">
        <v>0</v>
      </c>
      <c r="N22" s="27" t="n">
        <v>0</v>
      </c>
      <c r="O22" s="26" t="n">
        <v>0</v>
      </c>
      <c r="P22" s="27" t="n">
        <v>0</v>
      </c>
      <c r="Q22" s="22">
        <f>K22+M22+O22</f>
        <v/>
      </c>
      <c r="R22" s="23">
        <f>L22+N22+P22</f>
        <v/>
      </c>
      <c r="S22" s="28">
        <f>R22-Q22</f>
        <v/>
      </c>
      <c r="T22" s="29" t="inlineStr"/>
    </row>
    <row r="23" ht="20" customHeight="1">
      <c r="B23" s="20" t="inlineStr">
        <is>
          <t>ESPAÑA</t>
        </is>
      </c>
      <c r="C23" s="21" t="inlineStr">
        <is>
          <t>CAMPOEJIDO S.C.A.</t>
        </is>
      </c>
      <c r="D23" s="20" t="inlineStr">
        <is>
          <t>C-MB0005</t>
        </is>
      </c>
      <c r="E23" s="21" t="inlineStr">
        <is>
          <t>CODIFOL-MB, 5 L</t>
        </is>
      </c>
      <c r="F23" s="22" t="n">
        <v>400</v>
      </c>
      <c r="G23" s="23" t="n">
        <v>1300</v>
      </c>
      <c r="H23" s="22">
        <f>ABS(G23-F23)</f>
        <v/>
      </c>
      <c r="I23" s="24">
        <f>IF(F23&gt;0, G23/F23, IF(G23&gt;0, 1.0, 0.0))</f>
        <v/>
      </c>
      <c r="J23" s="25" t="inlineStr"/>
      <c r="K23" s="26" t="n">
        <v>120</v>
      </c>
      <c r="L23" s="27" t="n">
        <v>120</v>
      </c>
      <c r="M23" s="26" t="n">
        <v>200</v>
      </c>
      <c r="N23" s="27" t="n">
        <v>200</v>
      </c>
      <c r="O23" s="26" t="n">
        <v>300</v>
      </c>
      <c r="P23" s="27" t="n">
        <v>300</v>
      </c>
      <c r="Q23" s="22">
        <f>K23+M23+O23</f>
        <v/>
      </c>
      <c r="R23" s="23">
        <f>L23+N23+P23</f>
        <v/>
      </c>
      <c r="S23" s="28">
        <f>R23-Q23</f>
        <v/>
      </c>
      <c r="T23" s="29" t="inlineStr"/>
    </row>
    <row r="24" ht="20" customHeight="1">
      <c r="B24" s="20" t="inlineStr">
        <is>
          <t>ESPAÑA</t>
        </is>
      </c>
      <c r="C24" s="21" t="inlineStr">
        <is>
          <t>CAMPOEJIDO S.C.A.</t>
        </is>
      </c>
      <c r="D24" s="20" t="inlineStr">
        <is>
          <t>CALCIO0005</t>
        </is>
      </c>
      <c r="E24" s="21" t="inlineStr">
        <is>
          <t>CALCIAMEC, 5 KG</t>
        </is>
      </c>
      <c r="F24" s="22" t="n">
        <v>800</v>
      </c>
      <c r="G24" s="23" t="n">
        <v>1600</v>
      </c>
      <c r="H24" s="22">
        <f>ABS(G24-F24)</f>
        <v/>
      </c>
      <c r="I24" s="24">
        <f>IF(F24&gt;0, G24/F24, IF(G24&gt;0, 1.0, 0.0))</f>
        <v/>
      </c>
      <c r="J24" s="25" t="inlineStr"/>
      <c r="K24" s="26" t="n">
        <v>850</v>
      </c>
      <c r="L24" s="27" t="n">
        <v>850</v>
      </c>
      <c r="M24" s="26" t="n">
        <v>500</v>
      </c>
      <c r="N24" s="27" t="n">
        <v>500</v>
      </c>
      <c r="O24" s="26" t="n">
        <v>1200</v>
      </c>
      <c r="P24" s="27" t="n">
        <v>1200</v>
      </c>
      <c r="Q24" s="22">
        <f>K24+M24+O24</f>
        <v/>
      </c>
      <c r="R24" s="23">
        <f>L24+N24+P24</f>
        <v/>
      </c>
      <c r="S24" s="28">
        <f>R24-Q24</f>
        <v/>
      </c>
      <c r="T24" s="29" t="inlineStr"/>
    </row>
    <row r="25" ht="20" customHeight="1">
      <c r="B25" s="20" t="inlineStr">
        <is>
          <t>ESPAÑA</t>
        </is>
      </c>
      <c r="C25" s="21" t="inlineStr">
        <is>
          <t>CAMPOEJIDO S.C.A.</t>
        </is>
      </c>
      <c r="D25" s="20" t="inlineStr">
        <is>
          <t>CPLUS0020</t>
        </is>
      </c>
      <c r="E25" s="21" t="inlineStr">
        <is>
          <t>CALCIPLUS, 20 L</t>
        </is>
      </c>
      <c r="F25" s="22" t="n">
        <v>1280</v>
      </c>
      <c r="G25" s="23" t="n">
        <v>4480</v>
      </c>
      <c r="H25" s="22">
        <f>ABS(G25-F25)</f>
        <v/>
      </c>
      <c r="I25" s="24">
        <f>IF(F25&gt;0, G25/F25, IF(G25&gt;0, 1.0, 0.0))</f>
        <v/>
      </c>
      <c r="J25" s="25" t="inlineStr"/>
      <c r="K25" s="26" t="n">
        <v>4480</v>
      </c>
      <c r="L25" s="27" t="n">
        <v>4480</v>
      </c>
      <c r="M25" s="26" t="n">
        <v>2560</v>
      </c>
      <c r="N25" s="27" t="n">
        <v>2560</v>
      </c>
      <c r="O25" s="26" t="n">
        <v>1920</v>
      </c>
      <c r="P25" s="27" t="n">
        <v>1920</v>
      </c>
      <c r="Q25" s="22">
        <f>K25+M25+O25</f>
        <v/>
      </c>
      <c r="R25" s="23">
        <f>L25+N25+P25</f>
        <v/>
      </c>
      <c r="S25" s="28">
        <f>R25-Q25</f>
        <v/>
      </c>
      <c r="T25" s="29" t="inlineStr"/>
    </row>
    <row r="26" ht="20" customHeight="1">
      <c r="B26" s="20" t="inlineStr">
        <is>
          <t>ESPAÑA</t>
        </is>
      </c>
      <c r="C26" s="21" t="inlineStr">
        <is>
          <t>CAMPOEJIDO S.C.A.</t>
        </is>
      </c>
      <c r="D26" s="20" t="inlineStr">
        <is>
          <t>FTK0005</t>
        </is>
      </c>
      <c r="E26" s="21" t="inlineStr">
        <is>
          <t>FITOKONTROL CA FLOW, 5 KG</t>
        </is>
      </c>
      <c r="F26" s="22" t="n">
        <v>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 t="inlineStr"/>
      <c r="K26" s="26" t="n">
        <v>0</v>
      </c>
      <c r="L26" s="27" t="n">
        <v>0</v>
      </c>
      <c r="M26" s="26" t="n">
        <v>300</v>
      </c>
      <c r="N26" s="27" t="n">
        <v>300</v>
      </c>
      <c r="O26" s="26" t="n">
        <v>300</v>
      </c>
      <c r="P26" s="27" t="n">
        <v>300</v>
      </c>
      <c r="Q26" s="22">
        <f>K26+M26+O26</f>
        <v/>
      </c>
      <c r="R26" s="23">
        <f>L26+N26+P26</f>
        <v/>
      </c>
      <c r="S26" s="28">
        <f>R26-Q26</f>
        <v/>
      </c>
      <c r="T26" s="29" t="inlineStr"/>
    </row>
    <row r="27" ht="20" customHeight="1">
      <c r="B27" s="20" t="inlineStr">
        <is>
          <t>ESPAÑA</t>
        </is>
      </c>
      <c r="C27" s="21" t="inlineStr">
        <is>
          <t>CAMPOEJIDO S.C.A.</t>
        </is>
      </c>
      <c r="D27" s="20" t="inlineStr">
        <is>
          <t>HST0005</t>
        </is>
      </c>
      <c r="E27" s="21" t="inlineStr">
        <is>
          <t>HIDROSTRESS, 5 L</t>
        </is>
      </c>
      <c r="F27" s="22" t="n">
        <v>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 t="inlineStr"/>
      <c r="K27" s="26" t="n">
        <v>0</v>
      </c>
      <c r="L27" s="27" t="n">
        <v>0</v>
      </c>
      <c r="M27" s="26" t="n">
        <v>0</v>
      </c>
      <c r="N27" s="27" t="n">
        <v>0</v>
      </c>
      <c r="O27" s="26" t="n">
        <v>100</v>
      </c>
      <c r="P27" s="27" t="n">
        <v>100</v>
      </c>
      <c r="Q27" s="22">
        <f>K27+M27+O27</f>
        <v/>
      </c>
      <c r="R27" s="23">
        <f>L27+N27+P27</f>
        <v/>
      </c>
      <c r="S27" s="28">
        <f>R27-Q27</f>
        <v/>
      </c>
      <c r="T27" s="29" t="inlineStr"/>
    </row>
    <row r="28" ht="20" customHeight="1">
      <c r="B28" s="20" t="inlineStr">
        <is>
          <t>ESPAÑA</t>
        </is>
      </c>
      <c r="C28" s="21" t="inlineStr">
        <is>
          <t>CAMPOEJIDO S.C.A.</t>
        </is>
      </c>
      <c r="D28" s="20" t="inlineStr">
        <is>
          <t>PHD0001</t>
        </is>
      </c>
      <c r="E28" s="21" t="inlineStr">
        <is>
          <t>PH-DOWNER, 1 L</t>
        </is>
      </c>
      <c r="F28" s="22" t="n">
        <v>0</v>
      </c>
      <c r="G28" s="23" t="n">
        <v>48</v>
      </c>
      <c r="H28" s="22">
        <f>ABS(G28-F28)</f>
        <v/>
      </c>
      <c r="I28" s="24">
        <f>IF(F28&gt;0, G28/F28, IF(G28&gt;0, 1.0, 0.0))</f>
        <v/>
      </c>
      <c r="J28" s="25" t="inlineStr">
        <is>
          <t>Pedido extra no previsto</t>
        </is>
      </c>
      <c r="K28" s="26" t="n">
        <v>0</v>
      </c>
      <c r="L28" s="27" t="n">
        <v>0</v>
      </c>
      <c r="M28" s="26" t="n">
        <v>0</v>
      </c>
      <c r="N28" s="27" t="n">
        <v>0</v>
      </c>
      <c r="O28" s="26" t="n">
        <v>0</v>
      </c>
      <c r="P28" s="27" t="n">
        <v>0</v>
      </c>
      <c r="Q28" s="22">
        <f>K28+M28+O28</f>
        <v/>
      </c>
      <c r="R28" s="23">
        <f>L28+N28+P28</f>
        <v/>
      </c>
      <c r="S28" s="28">
        <f>R28-Q28</f>
        <v/>
      </c>
      <c r="T28" s="29" t="inlineStr"/>
    </row>
    <row r="29" ht="20" customHeight="1">
      <c r="B29" s="20" t="inlineStr">
        <is>
          <t>ESPAÑA</t>
        </is>
      </c>
      <c r="C29" s="21" t="inlineStr">
        <is>
          <t>CAMPOEJIDO S.C.A.</t>
        </is>
      </c>
      <c r="D29" s="20" t="inlineStr">
        <is>
          <t>PHD0005</t>
        </is>
      </c>
      <c r="E29" s="21" t="inlineStr">
        <is>
          <t>PH-DOWNER, 5 L</t>
        </is>
      </c>
      <c r="F29" s="22" t="n">
        <v>100</v>
      </c>
      <c r="G29" s="23" t="n">
        <v>300</v>
      </c>
      <c r="H29" s="22">
        <f>ABS(G29-F29)</f>
        <v/>
      </c>
      <c r="I29" s="24">
        <f>IF(F29&gt;0, G29/F29, IF(G29&gt;0, 1.0, 0.0))</f>
        <v/>
      </c>
      <c r="J29" s="25" t="inlineStr"/>
      <c r="K29" s="26" t="n">
        <v>0</v>
      </c>
      <c r="L29" s="27" t="n">
        <v>0</v>
      </c>
      <c r="M29" s="26" t="n">
        <v>100</v>
      </c>
      <c r="N29" s="27" t="n">
        <v>100</v>
      </c>
      <c r="O29" s="26" t="n">
        <v>0</v>
      </c>
      <c r="P29" s="27" t="n">
        <v>0</v>
      </c>
      <c r="Q29" s="22">
        <f>K29+M29+O29</f>
        <v/>
      </c>
      <c r="R29" s="23">
        <f>L29+N29+P29</f>
        <v/>
      </c>
      <c r="S29" s="28">
        <f>R29-Q29</f>
        <v/>
      </c>
      <c r="T29" s="29" t="inlineStr"/>
    </row>
    <row r="30" ht="20" customHeight="1">
      <c r="B30" s="20" t="inlineStr">
        <is>
          <t>ESPAÑA</t>
        </is>
      </c>
      <c r="C30" s="21" t="inlineStr">
        <is>
          <t>CAMPOEJIDO S.C.A.</t>
        </is>
      </c>
      <c r="D30" s="20" t="inlineStr">
        <is>
          <t>PIV0020</t>
        </is>
      </c>
      <c r="E30" s="21" t="inlineStr">
        <is>
          <t>PGR IV, 20 L</t>
        </is>
      </c>
      <c r="F30" s="22" t="n">
        <v>3200</v>
      </c>
      <c r="G30" s="23" t="n">
        <v>640</v>
      </c>
      <c r="H30" s="22">
        <f>ABS(G30-F30)</f>
        <v/>
      </c>
      <c r="I30" s="24">
        <f>IF(F30&gt;0, G30/F30, IF(G30&gt;0, 1.0, 0.0))</f>
        <v/>
      </c>
      <c r="J30" s="25" t="inlineStr"/>
      <c r="K30" s="26" t="n">
        <v>1280</v>
      </c>
      <c r="L30" s="27" t="n">
        <v>1280</v>
      </c>
      <c r="M30" s="26" t="n">
        <v>1920</v>
      </c>
      <c r="N30" s="27" t="n">
        <v>1920</v>
      </c>
      <c r="O30" s="26" t="n">
        <v>640</v>
      </c>
      <c r="P30" s="27" t="n">
        <v>640</v>
      </c>
      <c r="Q30" s="22">
        <f>K30+M30+O30</f>
        <v/>
      </c>
      <c r="R30" s="23">
        <f>L30+N30+P30</f>
        <v/>
      </c>
      <c r="S30" s="28">
        <f>R30-Q30</f>
        <v/>
      </c>
      <c r="T30" s="29" t="inlineStr"/>
    </row>
    <row r="31" ht="20" customHeight="1">
      <c r="B31" s="20" t="inlineStr">
        <is>
          <t>ESPAÑA</t>
        </is>
      </c>
      <c r="C31" s="21" t="inlineStr">
        <is>
          <t>CAMPOEJIDO S.C.A.</t>
        </is>
      </c>
      <c r="D31" s="20" t="inlineStr">
        <is>
          <t>PT0005</t>
        </is>
      </c>
      <c r="E31" s="21" t="inlineStr">
        <is>
          <t>AGROPOTASION, 5 L</t>
        </is>
      </c>
      <c r="F31" s="22" t="n">
        <v>0</v>
      </c>
      <c r="G31" s="23" t="n">
        <v>0</v>
      </c>
      <c r="H31" s="22">
        <f>ABS(G31-F31)</f>
        <v/>
      </c>
      <c r="I31" s="24">
        <f>IF(F31&gt;0, G31/F31, IF(G31&gt;0, 1.0, 0.0))</f>
        <v/>
      </c>
      <c r="J31" s="25" t="inlineStr"/>
      <c r="K31" s="26" t="n">
        <v>100</v>
      </c>
      <c r="L31" s="27" t="n">
        <v>100</v>
      </c>
      <c r="M31" s="26" t="n">
        <v>0</v>
      </c>
      <c r="N31" s="27" t="n">
        <v>0</v>
      </c>
      <c r="O31" s="26" t="n">
        <v>100</v>
      </c>
      <c r="P31" s="27" t="n">
        <v>100</v>
      </c>
      <c r="Q31" s="22">
        <f>K31+M31+O31</f>
        <v/>
      </c>
      <c r="R31" s="23">
        <f>L31+N31+P31</f>
        <v/>
      </c>
      <c r="S31" s="28">
        <f>R31-Q31</f>
        <v/>
      </c>
      <c r="T31" s="29" t="inlineStr"/>
    </row>
    <row r="32" ht="20" customHeight="1">
      <c r="B32" s="20" t="inlineStr">
        <is>
          <t>ESPAÑA</t>
        </is>
      </c>
      <c r="C32" s="21" t="inlineStr">
        <is>
          <t>CAMPOEJIDO S.C.A.</t>
        </is>
      </c>
      <c r="D32" s="20" t="inlineStr">
        <is>
          <t>S0020</t>
        </is>
      </c>
      <c r="E32" s="21" t="inlineStr">
        <is>
          <t>SAL-WAX STAR, 20 L</t>
        </is>
      </c>
      <c r="F32" s="22" t="n">
        <v>640</v>
      </c>
      <c r="G32" s="23" t="n">
        <v>0</v>
      </c>
      <c r="H32" s="22">
        <f>ABS(G32-F32)</f>
        <v/>
      </c>
      <c r="I32" s="24">
        <f>IF(F32&gt;0, G32/F32, IF(G32&gt;0, 1.0, 0.0))</f>
        <v/>
      </c>
      <c r="J32" s="25" t="inlineStr"/>
      <c r="K32" s="26" t="n">
        <v>0</v>
      </c>
      <c r="L32" s="27" t="n">
        <v>0</v>
      </c>
      <c r="M32" s="26" t="n">
        <v>0</v>
      </c>
      <c r="N32" s="27" t="n">
        <v>0</v>
      </c>
      <c r="O32" s="26" t="n">
        <v>0</v>
      </c>
      <c r="P32" s="27" t="n">
        <v>0</v>
      </c>
      <c r="Q32" s="22">
        <f>K32+M32+O32</f>
        <v/>
      </c>
      <c r="R32" s="23">
        <f>L32+N32+P32</f>
        <v/>
      </c>
      <c r="S32" s="28">
        <f>R32-Q32</f>
        <v/>
      </c>
      <c r="T32" s="29" t="inlineStr"/>
    </row>
    <row r="33" ht="20" customHeight="1">
      <c r="B33" s="20" t="inlineStr">
        <is>
          <t>ESPAÑA</t>
        </is>
      </c>
      <c r="C33" s="21" t="inlineStr">
        <is>
          <t>CAMPOEJIDO S.C.A.</t>
        </is>
      </c>
      <c r="D33" s="20" t="inlineStr">
        <is>
          <t>TRI0001</t>
        </is>
      </c>
      <c r="E33" s="21" t="inlineStr">
        <is>
          <t>TRIFENO-94, 1 L</t>
        </is>
      </c>
      <c r="F33" s="22" t="n">
        <v>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 t="inlineStr"/>
      <c r="K33" s="26" t="n">
        <v>0</v>
      </c>
      <c r="L33" s="27" t="n">
        <v>0</v>
      </c>
      <c r="M33" s="26" t="n">
        <v>0</v>
      </c>
      <c r="N33" s="27" t="n">
        <v>0</v>
      </c>
      <c r="O33" s="26" t="n">
        <v>108</v>
      </c>
      <c r="P33" s="27" t="n">
        <v>108</v>
      </c>
      <c r="Q33" s="22">
        <f>K33+M33+O33</f>
        <v/>
      </c>
      <c r="R33" s="23">
        <f>L33+N33+P33</f>
        <v/>
      </c>
      <c r="S33" s="28">
        <f>R33-Q33</f>
        <v/>
      </c>
      <c r="T33" s="29" t="inlineStr"/>
    </row>
    <row r="34" ht="20" customHeight="1">
      <c r="B34" s="20" t="inlineStr">
        <is>
          <t>ESPAÑA</t>
        </is>
      </c>
      <c r="C34" s="21" t="inlineStr">
        <is>
          <t>CAMPOEJIDO S.C.A.</t>
        </is>
      </c>
      <c r="D34" s="20" t="inlineStr">
        <is>
          <t>TRI0005</t>
        </is>
      </c>
      <c r="E34" s="21" t="inlineStr">
        <is>
          <t>TRIFENO-94, 5L</t>
        </is>
      </c>
      <c r="F34" s="22" t="n">
        <v>100</v>
      </c>
      <c r="G34" s="23" t="n">
        <v>100</v>
      </c>
      <c r="H34" s="22">
        <f>ABS(G34-F34)</f>
        <v/>
      </c>
      <c r="I34" s="24">
        <f>IF(F34&gt;0, G34/F34, IF(G34&gt;0, 1.0, 0.0))</f>
        <v/>
      </c>
      <c r="J34" s="25" t="inlineStr"/>
      <c r="K34" s="26" t="n">
        <v>100</v>
      </c>
      <c r="L34" s="27" t="n">
        <v>100</v>
      </c>
      <c r="M34" s="26" t="n">
        <v>100</v>
      </c>
      <c r="N34" s="27" t="n">
        <v>100</v>
      </c>
      <c r="O34" s="26" t="n">
        <v>200</v>
      </c>
      <c r="P34" s="27" t="n">
        <v>200</v>
      </c>
      <c r="Q34" s="22">
        <f>K34+M34+O34</f>
        <v/>
      </c>
      <c r="R34" s="23">
        <f>L34+N34+P34</f>
        <v/>
      </c>
      <c r="S34" s="28">
        <f>R34-Q34</f>
        <v/>
      </c>
      <c r="T34" s="29" t="inlineStr"/>
    </row>
    <row r="35" ht="20" customHeight="1">
      <c r="B35" s="20" t="inlineStr">
        <is>
          <t>ESPAÑA</t>
        </is>
      </c>
      <c r="C35" s="21" t="inlineStr">
        <is>
          <t>COOP.AGRIC. SAN ISIDRO S.C.A.</t>
        </is>
      </c>
      <c r="D35" s="20" t="inlineStr">
        <is>
          <t>A-50(2)0005</t>
        </is>
      </c>
      <c r="E35" s="21" t="inlineStr">
        <is>
          <t>CODIORGAN-A50, 5 KG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 t="inlineStr"/>
      <c r="K35" s="26" t="n">
        <v>0</v>
      </c>
      <c r="L35" s="27" t="n">
        <v>0</v>
      </c>
      <c r="M35" s="26" t="n">
        <v>0</v>
      </c>
      <c r="N35" s="27" t="n">
        <v>0</v>
      </c>
      <c r="O35" s="26" t="n">
        <v>200</v>
      </c>
      <c r="P35" s="27" t="n">
        <v>200</v>
      </c>
      <c r="Q35" s="22">
        <f>K35+M35+O35</f>
        <v/>
      </c>
      <c r="R35" s="23">
        <f>L35+N35+P35</f>
        <v/>
      </c>
      <c r="S35" s="28">
        <f>R35-Q35</f>
        <v/>
      </c>
      <c r="T35" s="29" t="inlineStr"/>
    </row>
    <row r="36" ht="20" customHeight="1">
      <c r="B36" s="20" t="inlineStr">
        <is>
          <t>ESPAÑA</t>
        </is>
      </c>
      <c r="C36" s="21" t="inlineStr">
        <is>
          <t>COOP.AGRIC. SAN ISIDRO S.C.A.</t>
        </is>
      </c>
      <c r="D36" s="20" t="inlineStr">
        <is>
          <t>AGXK0020</t>
        </is>
      </c>
      <c r="E36" s="21" t="inlineStr">
        <is>
          <t>AGROXILATO-K, 20 L</t>
        </is>
      </c>
      <c r="F36" s="22" t="n">
        <v>3200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 t="inlineStr"/>
      <c r="K36" s="26" t="n">
        <v>5120</v>
      </c>
      <c r="L36" s="27" t="n">
        <v>5120</v>
      </c>
      <c r="M36" s="26" t="n">
        <v>3840</v>
      </c>
      <c r="N36" s="27" t="n">
        <v>3840</v>
      </c>
      <c r="O36" s="26" t="n">
        <v>7040</v>
      </c>
      <c r="P36" s="27" t="n">
        <v>7040</v>
      </c>
      <c r="Q36" s="22">
        <f>K36+M36+O36</f>
        <v/>
      </c>
      <c r="R36" s="23">
        <f>L36+N36+P36</f>
        <v/>
      </c>
      <c r="S36" s="28">
        <f>R36-Q36</f>
        <v/>
      </c>
      <c r="T36" s="29" t="inlineStr"/>
    </row>
    <row r="37" ht="20" customHeight="1">
      <c r="B37" s="20" t="inlineStr">
        <is>
          <t>ESPAÑA</t>
        </is>
      </c>
      <c r="C37" s="21" t="inlineStr">
        <is>
          <t>COOP.AGRIC. SAN ISIDRO S.C.A.</t>
        </is>
      </c>
      <c r="D37" s="20" t="inlineStr">
        <is>
          <t>AGXK0200</t>
        </is>
      </c>
      <c r="E37" s="21" t="inlineStr">
        <is>
          <t>AGROXILATO-K, 200 L</t>
        </is>
      </c>
      <c r="F37" s="22" t="n">
        <v>400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 t="inlineStr"/>
      <c r="K37" s="26" t="n">
        <v>0</v>
      </c>
      <c r="L37" s="27" t="n">
        <v>0</v>
      </c>
      <c r="M37" s="26" t="n">
        <v>0</v>
      </c>
      <c r="N37" s="27" t="n">
        <v>0</v>
      </c>
      <c r="O37" s="26" t="n">
        <v>0</v>
      </c>
      <c r="P37" s="27" t="n">
        <v>0</v>
      </c>
      <c r="Q37" s="22">
        <f>K37+M37+O37</f>
        <v/>
      </c>
      <c r="R37" s="23">
        <f>L37+N37+P37</f>
        <v/>
      </c>
      <c r="S37" s="28">
        <f>R37-Q37</f>
        <v/>
      </c>
      <c r="T37" s="29" t="inlineStr"/>
    </row>
    <row r="38" ht="20" customHeight="1">
      <c r="B38" s="20" t="inlineStr">
        <is>
          <t>ESPAÑA</t>
        </is>
      </c>
      <c r="C38" s="21" t="inlineStr">
        <is>
          <t>COOP.AGRIC. SAN ISIDRO S.C.A.</t>
        </is>
      </c>
      <c r="D38" s="20" t="inlineStr">
        <is>
          <t>AGZ-M0001</t>
        </is>
      </c>
      <c r="E38" s="21" t="inlineStr">
        <is>
          <t>AGROXILATO-ZN-MN, 1 KG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 t="inlineStr"/>
      <c r="K38" s="26" t="n">
        <v>0</v>
      </c>
      <c r="L38" s="27" t="n">
        <v>0</v>
      </c>
      <c r="M38" s="26" t="n">
        <v>112</v>
      </c>
      <c r="N38" s="27" t="n">
        <v>112</v>
      </c>
      <c r="O38" s="26" t="n">
        <v>0</v>
      </c>
      <c r="P38" s="27" t="n">
        <v>0</v>
      </c>
      <c r="Q38" s="22">
        <f>K38+M38+O38</f>
        <v/>
      </c>
      <c r="R38" s="23">
        <f>L38+N38+P38</f>
        <v/>
      </c>
      <c r="S38" s="28">
        <f>R38-Q38</f>
        <v/>
      </c>
      <c r="T38" s="29" t="inlineStr"/>
    </row>
    <row r="39" ht="20" customHeight="1">
      <c r="B39" s="20" t="inlineStr">
        <is>
          <t>ESPAÑA</t>
        </is>
      </c>
      <c r="C39" s="21" t="inlineStr">
        <is>
          <t>COOP.AGRIC. SAN ISIDRO S.C.A.</t>
        </is>
      </c>
      <c r="D39" s="20" t="inlineStr">
        <is>
          <t>AGZ-M0005</t>
        </is>
      </c>
      <c r="E39" s="21" t="inlineStr">
        <is>
          <t>AGROXILATO-ZN-MN, 5 KG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 t="inlineStr"/>
      <c r="K39" s="26" t="n">
        <v>0</v>
      </c>
      <c r="L39" s="27" t="n">
        <v>0</v>
      </c>
      <c r="M39" s="26" t="n">
        <v>0</v>
      </c>
      <c r="N39" s="27" t="n">
        <v>0</v>
      </c>
      <c r="O39" s="26" t="n">
        <v>200</v>
      </c>
      <c r="P39" s="27" t="n">
        <v>200</v>
      </c>
      <c r="Q39" s="22">
        <f>K39+M39+O39</f>
        <v/>
      </c>
      <c r="R39" s="23">
        <f>L39+N39+P39</f>
        <v/>
      </c>
      <c r="S39" s="28">
        <f>R39-Q39</f>
        <v/>
      </c>
      <c r="T39" s="29" t="inlineStr"/>
    </row>
    <row r="40" ht="20" customHeight="1">
      <c r="B40" s="20" t="inlineStr">
        <is>
          <t>ESPAÑA</t>
        </is>
      </c>
      <c r="C40" s="21" t="inlineStr">
        <is>
          <t>COOP.AGRIC. SAN ISIDRO S.C.A.</t>
        </is>
      </c>
      <c r="D40" s="20" t="inlineStr">
        <is>
          <t>AMIMG0020</t>
        </is>
      </c>
      <c r="E40" s="21" t="inlineStr">
        <is>
          <t>AMINOSOIL MG, 20 L</t>
        </is>
      </c>
      <c r="F40" s="22" t="n">
        <v>0</v>
      </c>
      <c r="G40" s="23" t="n">
        <v>0</v>
      </c>
      <c r="H40" s="22">
        <f>ABS(G40-F40)</f>
        <v/>
      </c>
      <c r="I40" s="24">
        <f>IF(F40&gt;0, G40/F40, IF(G40&gt;0, 1.0, 0.0))</f>
        <v/>
      </c>
      <c r="J40" s="25" t="inlineStr"/>
      <c r="K40" s="26" t="n">
        <v>0</v>
      </c>
      <c r="L40" s="27" t="n">
        <v>0</v>
      </c>
      <c r="M40" s="26" t="n">
        <v>640</v>
      </c>
      <c r="N40" s="27" t="n">
        <v>640</v>
      </c>
      <c r="O40" s="26" t="n">
        <v>300</v>
      </c>
      <c r="P40" s="27" t="n">
        <v>300</v>
      </c>
      <c r="Q40" s="22">
        <f>K40+M40+O40</f>
        <v/>
      </c>
      <c r="R40" s="23">
        <f>L40+N40+P40</f>
        <v/>
      </c>
      <c r="S40" s="28">
        <f>R40-Q40</f>
        <v/>
      </c>
      <c r="T40" s="29" t="inlineStr"/>
    </row>
    <row r="41" ht="20" customHeight="1">
      <c r="B41" s="20" t="inlineStr">
        <is>
          <t>ESPAÑA</t>
        </is>
      </c>
      <c r="C41" s="21" t="inlineStr">
        <is>
          <t>COOP.AGRIC. SAN ISIDRO S.C.A.</t>
        </is>
      </c>
      <c r="D41" s="20" t="inlineStr">
        <is>
          <t>AVAN0005</t>
        </is>
      </c>
      <c r="E41" s="21" t="inlineStr">
        <is>
          <t>FLORAMEC AVANCE, 5 L</t>
        </is>
      </c>
      <c r="F41" s="22" t="n">
        <v>1200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 t="inlineStr"/>
      <c r="K41" s="26" t="n">
        <v>900</v>
      </c>
      <c r="L41" s="27" t="n">
        <v>900</v>
      </c>
      <c r="M41" s="26" t="n">
        <v>0</v>
      </c>
      <c r="N41" s="27" t="n">
        <v>0</v>
      </c>
      <c r="O41" s="26" t="n">
        <v>600</v>
      </c>
      <c r="P41" s="27" t="n">
        <v>600</v>
      </c>
      <c r="Q41" s="22">
        <f>K41+M41+O41</f>
        <v/>
      </c>
      <c r="R41" s="23">
        <f>L41+N41+P41</f>
        <v/>
      </c>
      <c r="S41" s="28">
        <f>R41-Q41</f>
        <v/>
      </c>
      <c r="T41" s="29" t="inlineStr"/>
    </row>
    <row r="42" ht="20" customHeight="1">
      <c r="B42" s="20" t="inlineStr">
        <is>
          <t>ESPAÑA</t>
        </is>
      </c>
      <c r="C42" s="21" t="inlineStr">
        <is>
          <t>COOP.AGRIC. SAN ISIDRO S.C.A.</t>
        </is>
      </c>
      <c r="D42" s="20" t="inlineStr">
        <is>
          <t>BROTA0005</t>
        </is>
      </c>
      <c r="E42" s="21" t="inlineStr">
        <is>
          <t>BROTAMEC, 5 L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 t="inlineStr"/>
      <c r="K42" s="26" t="n">
        <v>400</v>
      </c>
      <c r="L42" s="27" t="n">
        <v>400</v>
      </c>
      <c r="M42" s="26" t="n">
        <v>0</v>
      </c>
      <c r="N42" s="27" t="n">
        <v>0</v>
      </c>
      <c r="O42" s="26" t="n">
        <v>300</v>
      </c>
      <c r="P42" s="27" t="n">
        <v>300</v>
      </c>
      <c r="Q42" s="22">
        <f>K42+M42+O42</f>
        <v/>
      </c>
      <c r="R42" s="23">
        <f>L42+N42+P42</f>
        <v/>
      </c>
      <c r="S42" s="28">
        <f>R42-Q42</f>
        <v/>
      </c>
      <c r="T42" s="29" t="inlineStr"/>
    </row>
    <row r="43" ht="20" customHeight="1">
      <c r="B43" s="20" t="inlineStr">
        <is>
          <t>ESPAÑA</t>
        </is>
      </c>
      <c r="C43" s="21" t="inlineStr">
        <is>
          <t>COOP.AGRIC. SAN ISIDRO S.C.A.</t>
        </is>
      </c>
      <c r="D43" s="20" t="inlineStr">
        <is>
          <t>C-CUAE0005</t>
        </is>
      </c>
      <c r="E43" s="21" t="inlineStr">
        <is>
          <t>CUPRAMEC, 5 L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 t="inlineStr"/>
      <c r="K43" s="26" t="n">
        <v>0</v>
      </c>
      <c r="L43" s="27" t="n">
        <v>0</v>
      </c>
      <c r="M43" s="26" t="n">
        <v>300</v>
      </c>
      <c r="N43" s="27" t="n">
        <v>300</v>
      </c>
      <c r="O43" s="26" t="n">
        <v>300</v>
      </c>
      <c r="P43" s="27" t="n">
        <v>300</v>
      </c>
      <c r="Q43" s="22">
        <f>K43+M43+O43</f>
        <v/>
      </c>
      <c r="R43" s="23">
        <f>L43+N43+P43</f>
        <v/>
      </c>
      <c r="S43" s="28">
        <f>R43-Q43</f>
        <v/>
      </c>
      <c r="T43" s="29" t="inlineStr"/>
    </row>
    <row r="44" ht="20" customHeight="1">
      <c r="B44" s="20" t="inlineStr">
        <is>
          <t>ESPAÑA</t>
        </is>
      </c>
      <c r="C44" s="21" t="inlineStr">
        <is>
          <t>COOP.AGRIC. SAN ISIDRO S.C.A.</t>
        </is>
      </c>
      <c r="D44" s="20" t="inlineStr">
        <is>
          <t>C-L0005</t>
        </is>
      </c>
      <c r="E44" s="21" t="inlineStr">
        <is>
          <t>CODIBOR-L, 5 L</t>
        </is>
      </c>
      <c r="F44" s="22" t="n">
        <v>200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 t="inlineStr"/>
      <c r="K44" s="26" t="n">
        <v>0</v>
      </c>
      <c r="L44" s="27" t="n">
        <v>0</v>
      </c>
      <c r="M44" s="26" t="n">
        <v>0</v>
      </c>
      <c r="N44" s="27" t="n">
        <v>0</v>
      </c>
      <c r="O44" s="26" t="n">
        <v>0</v>
      </c>
      <c r="P44" s="27" t="n">
        <v>0</v>
      </c>
      <c r="Q44" s="22">
        <f>K44+M44+O44</f>
        <v/>
      </c>
      <c r="R44" s="23">
        <f>L44+N44+P44</f>
        <v/>
      </c>
      <c r="S44" s="28">
        <f>R44-Q44</f>
        <v/>
      </c>
      <c r="T44" s="29" t="inlineStr"/>
    </row>
    <row r="45" ht="20" customHeight="1">
      <c r="B45" s="20" t="inlineStr">
        <is>
          <t>ESPAÑA</t>
        </is>
      </c>
      <c r="C45" s="21" t="inlineStr">
        <is>
          <t>COOP.AGRIC. SAN ISIDRO S.C.A.</t>
        </is>
      </c>
      <c r="D45" s="20" t="inlineStr">
        <is>
          <t>C-MB0005</t>
        </is>
      </c>
      <c r="E45" s="21" t="inlineStr">
        <is>
          <t>CODIFOL-MB, 5 L</t>
        </is>
      </c>
      <c r="F45" s="22" t="n">
        <v>300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 t="inlineStr"/>
      <c r="K45" s="26" t="n">
        <v>300</v>
      </c>
      <c r="L45" s="27" t="n">
        <v>300</v>
      </c>
      <c r="M45" s="26" t="n">
        <v>0</v>
      </c>
      <c r="N45" s="27" t="n">
        <v>0</v>
      </c>
      <c r="O45" s="26" t="n">
        <v>600</v>
      </c>
      <c r="P45" s="27" t="n">
        <v>600</v>
      </c>
      <c r="Q45" s="22">
        <f>K45+M45+O45</f>
        <v/>
      </c>
      <c r="R45" s="23">
        <f>L45+N45+P45</f>
        <v/>
      </c>
      <c r="S45" s="28">
        <f>R45-Q45</f>
        <v/>
      </c>
      <c r="T45" s="29" t="inlineStr"/>
    </row>
    <row r="46" ht="20" customHeight="1">
      <c r="B46" s="20" t="inlineStr">
        <is>
          <t>ESPAÑA</t>
        </is>
      </c>
      <c r="C46" s="21" t="inlineStr">
        <is>
          <t>COOP.AGRIC. SAN ISIDRO S.C.A.</t>
        </is>
      </c>
      <c r="D46" s="20" t="inlineStr">
        <is>
          <t>CALCIO0005</t>
        </is>
      </c>
      <c r="E46" s="21" t="inlineStr">
        <is>
          <t>CALCIAMEC, 5 KG</t>
        </is>
      </c>
      <c r="F46" s="22" t="n">
        <v>0</v>
      </c>
      <c r="G46" s="23" t="n">
        <v>0</v>
      </c>
      <c r="H46" s="22">
        <f>ABS(G46-F46)</f>
        <v/>
      </c>
      <c r="I46" s="24">
        <f>IF(F46&gt;0, G46/F46, IF(G46&gt;0, 1.0, 0.0))</f>
        <v/>
      </c>
      <c r="J46" s="25" t="inlineStr"/>
      <c r="K46" s="26" t="n">
        <v>0</v>
      </c>
      <c r="L46" s="27" t="n">
        <v>0</v>
      </c>
      <c r="M46" s="26" t="n">
        <v>100</v>
      </c>
      <c r="N46" s="27" t="n">
        <v>100</v>
      </c>
      <c r="O46" s="26" t="n">
        <v>0</v>
      </c>
      <c r="P46" s="27" t="n">
        <v>0</v>
      </c>
      <c r="Q46" s="22">
        <f>K46+M46+O46</f>
        <v/>
      </c>
      <c r="R46" s="23">
        <f>L46+N46+P46</f>
        <v/>
      </c>
      <c r="S46" s="28">
        <f>R46-Q46</f>
        <v/>
      </c>
      <c r="T46" s="29" t="inlineStr"/>
    </row>
    <row r="47" ht="20" customHeight="1">
      <c r="B47" s="20" t="inlineStr">
        <is>
          <t>ESPAÑA</t>
        </is>
      </c>
      <c r="C47" s="21" t="inlineStr">
        <is>
          <t>COOP.AGRIC. SAN ISIDRO S.C.A.</t>
        </is>
      </c>
      <c r="D47" s="20" t="inlineStr">
        <is>
          <t>CPLUS0020</t>
        </is>
      </c>
      <c r="E47" s="21" t="inlineStr">
        <is>
          <t>CALCIPLUS, 20 L</t>
        </is>
      </c>
      <c r="F47" s="22" t="n">
        <v>640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 t="inlineStr"/>
      <c r="K47" s="26" t="n">
        <v>1280</v>
      </c>
      <c r="L47" s="27" t="n">
        <v>1280</v>
      </c>
      <c r="M47" s="26" t="n">
        <v>1280</v>
      </c>
      <c r="N47" s="27" t="n">
        <v>1280</v>
      </c>
      <c r="O47" s="26" t="n">
        <v>0</v>
      </c>
      <c r="P47" s="27" t="n">
        <v>0</v>
      </c>
      <c r="Q47" s="22">
        <f>K47+M47+O47</f>
        <v/>
      </c>
      <c r="R47" s="23">
        <f>L47+N47+P47</f>
        <v/>
      </c>
      <c r="S47" s="28">
        <f>R47-Q47</f>
        <v/>
      </c>
      <c r="T47" s="29" t="inlineStr"/>
    </row>
    <row r="48" ht="20" customHeight="1">
      <c r="B48" s="20" t="inlineStr">
        <is>
          <t>ESPAÑA</t>
        </is>
      </c>
      <c r="C48" s="21" t="inlineStr">
        <is>
          <t>COOP.AGRIC. SAN ISIDRO S.C.A.</t>
        </is>
      </c>
      <c r="D48" s="20" t="inlineStr">
        <is>
          <t>PIV0020</t>
        </is>
      </c>
      <c r="E48" s="21" t="inlineStr">
        <is>
          <t>PGR IV, 20 L</t>
        </is>
      </c>
      <c r="F48" s="22" t="n">
        <v>1280</v>
      </c>
      <c r="G48" s="23" t="n">
        <v>0</v>
      </c>
      <c r="H48" s="22">
        <f>ABS(G48-F48)</f>
        <v/>
      </c>
      <c r="I48" s="24">
        <f>IF(F48&gt;0, G48/F48, IF(G48&gt;0, 1.0, 0.0))</f>
        <v/>
      </c>
      <c r="J48" s="25" t="inlineStr"/>
      <c r="K48" s="26" t="n">
        <v>1280</v>
      </c>
      <c r="L48" s="27" t="n">
        <v>1280</v>
      </c>
      <c r="M48" s="26" t="n">
        <v>1920</v>
      </c>
      <c r="N48" s="27" t="n">
        <v>1920</v>
      </c>
      <c r="O48" s="26" t="n">
        <v>1280</v>
      </c>
      <c r="P48" s="27" t="n">
        <v>1280</v>
      </c>
      <c r="Q48" s="22">
        <f>K48+M48+O48</f>
        <v/>
      </c>
      <c r="R48" s="23">
        <f>L48+N48+P48</f>
        <v/>
      </c>
      <c r="S48" s="28">
        <f>R48-Q48</f>
        <v/>
      </c>
      <c r="T48" s="29" t="inlineStr"/>
    </row>
    <row r="49" ht="20" customHeight="1">
      <c r="B49" s="20" t="inlineStr">
        <is>
          <t>ESPAÑA</t>
        </is>
      </c>
      <c r="C49" s="21" t="inlineStr">
        <is>
          <t>COOP.AGRIC. SAN ISIDRO S.C.A.</t>
        </is>
      </c>
      <c r="D49" s="20" t="inlineStr">
        <is>
          <t>PT0005</t>
        </is>
      </c>
      <c r="E49" s="21" t="inlineStr">
        <is>
          <t>AGROPOTASION, 5 L</t>
        </is>
      </c>
      <c r="F49" s="22" t="n">
        <v>0</v>
      </c>
      <c r="G49" s="23" t="n">
        <v>0</v>
      </c>
      <c r="H49" s="22">
        <f>ABS(G49-F49)</f>
        <v/>
      </c>
      <c r="I49" s="24">
        <f>IF(F49&gt;0, G49/F49, IF(G49&gt;0, 1.0, 0.0))</f>
        <v/>
      </c>
      <c r="J49" s="25" t="inlineStr"/>
      <c r="K49" s="26" t="n">
        <v>0</v>
      </c>
      <c r="L49" s="27" t="n">
        <v>0</v>
      </c>
      <c r="M49" s="26" t="n">
        <v>0</v>
      </c>
      <c r="N49" s="27" t="n">
        <v>0</v>
      </c>
      <c r="O49" s="26" t="n">
        <v>200</v>
      </c>
      <c r="P49" s="27" t="n">
        <v>200</v>
      </c>
      <c r="Q49" s="22">
        <f>K49+M49+O49</f>
        <v/>
      </c>
      <c r="R49" s="23">
        <f>L49+N49+P49</f>
        <v/>
      </c>
      <c r="S49" s="28">
        <f>R49-Q49</f>
        <v/>
      </c>
      <c r="T49" s="29" t="inlineStr"/>
    </row>
    <row r="50" ht="20" customHeight="1">
      <c r="B50" s="20" t="inlineStr">
        <is>
          <t>ESPAÑA</t>
        </is>
      </c>
      <c r="C50" s="21" t="inlineStr">
        <is>
          <t>COOP.AGRIC. SAN ISIDRO S.C.A.</t>
        </is>
      </c>
      <c r="D50" s="20" t="inlineStr">
        <is>
          <t>PT0020</t>
        </is>
      </c>
      <c r="E50" s="21" t="inlineStr">
        <is>
          <t>AGROPOTASION, 20 L</t>
        </is>
      </c>
      <c r="F50" s="22" t="n">
        <v>0</v>
      </c>
      <c r="G50" s="23" t="n">
        <v>0</v>
      </c>
      <c r="H50" s="22">
        <f>ABS(G50-F50)</f>
        <v/>
      </c>
      <c r="I50" s="24">
        <f>IF(F50&gt;0, G50/F50, IF(G50&gt;0, 1.0, 0.0))</f>
        <v/>
      </c>
      <c r="J50" s="25" t="inlineStr"/>
      <c r="K50" s="26" t="n">
        <v>0</v>
      </c>
      <c r="L50" s="27" t="n">
        <v>0</v>
      </c>
      <c r="M50" s="26" t="n">
        <v>0</v>
      </c>
      <c r="N50" s="27" t="n">
        <v>0</v>
      </c>
      <c r="O50" s="26" t="n">
        <v>300</v>
      </c>
      <c r="P50" s="27" t="n">
        <v>300</v>
      </c>
      <c r="Q50" s="22">
        <f>K50+M50+O50</f>
        <v/>
      </c>
      <c r="R50" s="23">
        <f>L50+N50+P50</f>
        <v/>
      </c>
      <c r="S50" s="28">
        <f>R50-Q50</f>
        <v/>
      </c>
      <c r="T50" s="29" t="inlineStr"/>
    </row>
    <row r="51" ht="20" customHeight="1">
      <c r="B51" s="20" t="inlineStr">
        <is>
          <t>ESPAÑA</t>
        </is>
      </c>
      <c r="C51" s="21" t="inlineStr">
        <is>
          <t>COOP.AGRIC. SAN ISIDRO S.C.A.</t>
        </is>
      </c>
      <c r="D51" s="20" t="inlineStr">
        <is>
          <t>S0020</t>
        </is>
      </c>
      <c r="E51" s="21" t="inlineStr">
        <is>
          <t>SAL-WAX STAR, 20 L</t>
        </is>
      </c>
      <c r="F51" s="22" t="n">
        <v>0</v>
      </c>
      <c r="G51" s="23" t="n">
        <v>0</v>
      </c>
      <c r="H51" s="22">
        <f>ABS(G51-F51)</f>
        <v/>
      </c>
      <c r="I51" s="24">
        <f>IF(F51&gt;0, G51/F51, IF(G51&gt;0, 1.0, 0.0))</f>
        <v/>
      </c>
      <c r="J51" s="25" t="inlineStr"/>
      <c r="K51" s="26" t="n">
        <v>640</v>
      </c>
      <c r="L51" s="27" t="n">
        <v>640</v>
      </c>
      <c r="M51" s="26" t="n">
        <v>640</v>
      </c>
      <c r="N51" s="27" t="n">
        <v>640</v>
      </c>
      <c r="O51" s="26" t="n">
        <v>640</v>
      </c>
      <c r="P51" s="27" t="n">
        <v>640</v>
      </c>
      <c r="Q51" s="22">
        <f>K51+M51+O51</f>
        <v/>
      </c>
      <c r="R51" s="23">
        <f>L51+N51+P51</f>
        <v/>
      </c>
      <c r="S51" s="28">
        <f>R51-Q51</f>
        <v/>
      </c>
      <c r="T51" s="29" t="inlineStr"/>
    </row>
    <row r="52" ht="20" customHeight="1">
      <c r="B52" s="20" t="inlineStr">
        <is>
          <t>ESPAÑA</t>
        </is>
      </c>
      <c r="C52" s="21" t="inlineStr">
        <is>
          <t>COOP.AGRIC. SAN ISIDRO S.C.A.</t>
        </is>
      </c>
      <c r="D52" s="20" t="inlineStr">
        <is>
          <t>TRI0001</t>
        </is>
      </c>
      <c r="E52" s="21" t="inlineStr">
        <is>
          <t>TRIFENO-94, 1 L</t>
        </is>
      </c>
      <c r="F52" s="22" t="n">
        <v>0</v>
      </c>
      <c r="G52" s="23" t="n">
        <v>0</v>
      </c>
      <c r="H52" s="22">
        <f>ABS(G52-F52)</f>
        <v/>
      </c>
      <c r="I52" s="24">
        <f>IF(F52&gt;0, G52/F52, IF(G52&gt;0, 1.0, 0.0))</f>
        <v/>
      </c>
      <c r="J52" s="25" t="inlineStr"/>
      <c r="K52" s="26" t="n">
        <v>0</v>
      </c>
      <c r="L52" s="27" t="n">
        <v>0</v>
      </c>
      <c r="M52" s="26" t="n">
        <v>0</v>
      </c>
      <c r="N52" s="27" t="n">
        <v>0</v>
      </c>
      <c r="O52" s="26" t="n">
        <v>108</v>
      </c>
      <c r="P52" s="27" t="n">
        <v>108</v>
      </c>
      <c r="Q52" s="22">
        <f>K52+M52+O52</f>
        <v/>
      </c>
      <c r="R52" s="23">
        <f>L52+N52+P52</f>
        <v/>
      </c>
      <c r="S52" s="28">
        <f>R52-Q52</f>
        <v/>
      </c>
      <c r="T52" s="29" t="inlineStr"/>
    </row>
    <row r="53" ht="20" customHeight="1">
      <c r="B53" s="20" t="inlineStr">
        <is>
          <t>ESPAÑA</t>
        </is>
      </c>
      <c r="C53" s="21" t="inlineStr">
        <is>
          <t>GUIVARTO AGRICOLA, S.L.</t>
        </is>
      </c>
      <c r="D53" s="20" t="inlineStr">
        <is>
          <t>A-50(2)0005</t>
        </is>
      </c>
      <c r="E53" s="21" t="inlineStr">
        <is>
          <t>CODIORGAN A-50, 5 KG</t>
        </is>
      </c>
      <c r="F53" s="22" t="n">
        <v>100</v>
      </c>
      <c r="G53" s="23" t="n">
        <v>0</v>
      </c>
      <c r="H53" s="22">
        <f>ABS(G53-F53)</f>
        <v/>
      </c>
      <c r="I53" s="24">
        <f>IF(F53&gt;0, G53/F53, IF(G53&gt;0, 1.0, 0.0))</f>
        <v/>
      </c>
      <c r="J53" s="25" t="inlineStr"/>
      <c r="K53" s="26" t="n">
        <v>0</v>
      </c>
      <c r="L53" s="27" t="n">
        <v>0</v>
      </c>
      <c r="M53" s="26" t="n">
        <v>100</v>
      </c>
      <c r="N53" s="27" t="n">
        <v>100</v>
      </c>
      <c r="O53" s="26" t="n">
        <v>0</v>
      </c>
      <c r="P53" s="27" t="n">
        <v>0</v>
      </c>
      <c r="Q53" s="22">
        <f>K53+M53+O53</f>
        <v/>
      </c>
      <c r="R53" s="23">
        <f>L53+N53+P53</f>
        <v/>
      </c>
      <c r="S53" s="28">
        <f>R53-Q53</f>
        <v/>
      </c>
      <c r="T53" s="29" t="inlineStr"/>
    </row>
    <row r="54" ht="20" customHeight="1">
      <c r="B54" s="20" t="inlineStr">
        <is>
          <t>ESPAÑA</t>
        </is>
      </c>
      <c r="C54" s="21" t="inlineStr">
        <is>
          <t>GUIVARTO AGRICOLA, S.L.</t>
        </is>
      </c>
      <c r="D54" s="20" t="inlineStr">
        <is>
          <t>AGXK0020</t>
        </is>
      </c>
      <c r="E54" s="21" t="inlineStr">
        <is>
          <t>AGROXILATO-K, 20 L</t>
        </is>
      </c>
      <c r="F54" s="22" t="n">
        <v>1240</v>
      </c>
      <c r="G54" s="23" t="n">
        <v>0</v>
      </c>
      <c r="H54" s="22">
        <f>ABS(G54-F54)</f>
        <v/>
      </c>
      <c r="I54" s="24">
        <f>IF(F54&gt;0, G54/F54, IF(G54&gt;0, 1.0, 0.0))</f>
        <v/>
      </c>
      <c r="J54" s="25" t="inlineStr"/>
      <c r="K54" s="26" t="n">
        <v>2480</v>
      </c>
      <c r="L54" s="27" t="n">
        <v>2480</v>
      </c>
      <c r="M54" s="26" t="n">
        <v>1240</v>
      </c>
      <c r="N54" s="27" t="n">
        <v>1240</v>
      </c>
      <c r="O54" s="26" t="n">
        <v>1960</v>
      </c>
      <c r="P54" s="27" t="n">
        <v>1960</v>
      </c>
      <c r="Q54" s="22">
        <f>K54+M54+O54</f>
        <v/>
      </c>
      <c r="R54" s="23">
        <f>L54+N54+P54</f>
        <v/>
      </c>
      <c r="S54" s="28">
        <f>R54-Q54</f>
        <v/>
      </c>
      <c r="T54" s="29" t="inlineStr"/>
    </row>
    <row r="55" ht="20" customHeight="1">
      <c r="B55" s="20" t="inlineStr">
        <is>
          <t>ESPAÑA</t>
        </is>
      </c>
      <c r="C55" s="21" t="inlineStr">
        <is>
          <t>GUIVARTO AGRICOLA, S.L.</t>
        </is>
      </c>
      <c r="D55" s="20" t="inlineStr">
        <is>
          <t>AGXK1000</t>
        </is>
      </c>
      <c r="E55" s="21" t="inlineStr">
        <is>
          <t>AGROXILATO-K, 1000 L</t>
        </is>
      </c>
      <c r="F55" s="22" t="n">
        <v>0</v>
      </c>
      <c r="G55" s="23" t="n">
        <v>8000</v>
      </c>
      <c r="H55" s="22">
        <f>ABS(G55-F55)</f>
        <v/>
      </c>
      <c r="I55" s="24">
        <f>IF(F55&gt;0, G55/F55, IF(G55&gt;0, 1.0, 0.0))</f>
        <v/>
      </c>
      <c r="J55" s="25" t="inlineStr">
        <is>
          <t>Pedido extra no previsto</t>
        </is>
      </c>
      <c r="K55" s="26" t="n">
        <v>0</v>
      </c>
      <c r="L55" s="27" t="n">
        <v>0</v>
      </c>
      <c r="M55" s="26" t="n">
        <v>1000</v>
      </c>
      <c r="N55" s="27" t="n">
        <v>1000</v>
      </c>
      <c r="O55" s="26" t="n">
        <v>0</v>
      </c>
      <c r="P55" s="27" t="n">
        <v>0</v>
      </c>
      <c r="Q55" s="22">
        <f>K55+M55+O55</f>
        <v/>
      </c>
      <c r="R55" s="23">
        <f>L55+N55+P55</f>
        <v/>
      </c>
      <c r="S55" s="28">
        <f>R55-Q55</f>
        <v/>
      </c>
      <c r="T55" s="29" t="inlineStr"/>
    </row>
    <row r="56" ht="20" customHeight="1">
      <c r="B56" s="20" t="inlineStr">
        <is>
          <t>ESPAÑA</t>
        </is>
      </c>
      <c r="C56" s="21" t="inlineStr">
        <is>
          <t>GUIVARTO AGRICOLA, S.L.</t>
        </is>
      </c>
      <c r="D56" s="20" t="inlineStr">
        <is>
          <t>AGZNP0005</t>
        </is>
      </c>
      <c r="E56" s="21" t="inlineStr">
        <is>
          <t>AGROXILATO-ZN PLUS, 5 KG</t>
        </is>
      </c>
      <c r="F56" s="22" t="n">
        <v>50</v>
      </c>
      <c r="G56" s="23" t="n">
        <v>50</v>
      </c>
      <c r="H56" s="22">
        <f>ABS(G56-F56)</f>
        <v/>
      </c>
      <c r="I56" s="24">
        <f>IF(F56&gt;0, G56/F56, IF(G56&gt;0, 1.0, 0.0))</f>
        <v/>
      </c>
      <c r="J56" s="25" t="inlineStr"/>
      <c r="K56" s="26" t="n">
        <v>0</v>
      </c>
      <c r="L56" s="27" t="n">
        <v>0</v>
      </c>
      <c r="M56" s="26" t="n">
        <v>0</v>
      </c>
      <c r="N56" s="27" t="n">
        <v>0</v>
      </c>
      <c r="O56" s="26" t="n">
        <v>0</v>
      </c>
      <c r="P56" s="27" t="n">
        <v>0</v>
      </c>
      <c r="Q56" s="22">
        <f>K56+M56+O56</f>
        <v/>
      </c>
      <c r="R56" s="23">
        <f>L56+N56+P56</f>
        <v/>
      </c>
      <c r="S56" s="28">
        <f>R56-Q56</f>
        <v/>
      </c>
      <c r="T56" s="29" t="inlineStr"/>
    </row>
    <row r="57" ht="20" customHeight="1">
      <c r="B57" s="20" t="inlineStr">
        <is>
          <t>ESPAÑA</t>
        </is>
      </c>
      <c r="C57" s="21" t="inlineStr">
        <is>
          <t>GUIVARTO AGRICOLA, S.L.</t>
        </is>
      </c>
      <c r="D57" s="20" t="inlineStr">
        <is>
          <t>AQUOM0005</t>
        </is>
      </c>
      <c r="E57" s="21" t="inlineStr">
        <is>
          <t>AQUOM, 5 L</t>
        </is>
      </c>
      <c r="F57" s="22" t="n">
        <v>200</v>
      </c>
      <c r="G57" s="23" t="n">
        <v>200</v>
      </c>
      <c r="H57" s="22">
        <f>ABS(G57-F57)</f>
        <v/>
      </c>
      <c r="I57" s="24">
        <f>IF(F57&gt;0, G57/F57, IF(G57&gt;0, 1.0, 0.0))</f>
        <v/>
      </c>
      <c r="J57" s="25" t="inlineStr"/>
      <c r="K57" s="26" t="n">
        <v>0</v>
      </c>
      <c r="L57" s="27" t="n">
        <v>0</v>
      </c>
      <c r="M57" s="26" t="n">
        <v>0</v>
      </c>
      <c r="N57" s="27" t="n">
        <v>0</v>
      </c>
      <c r="O57" s="26" t="n">
        <v>0</v>
      </c>
      <c r="P57" s="27" t="n">
        <v>0</v>
      </c>
      <c r="Q57" s="22">
        <f>K57+M57+O57</f>
        <v/>
      </c>
      <c r="R57" s="23">
        <f>L57+N57+P57</f>
        <v/>
      </c>
      <c r="S57" s="28">
        <f>R57-Q57</f>
        <v/>
      </c>
      <c r="T57" s="29" t="inlineStr"/>
    </row>
    <row r="58" ht="20" customHeight="1">
      <c r="B58" s="20" t="inlineStr">
        <is>
          <t>ESPAÑA</t>
        </is>
      </c>
      <c r="C58" s="21" t="inlineStr">
        <is>
          <t>GUIVARTO AGRICOLA, S.L.</t>
        </is>
      </c>
      <c r="D58" s="20" t="inlineStr">
        <is>
          <t>AVAN0005</t>
        </is>
      </c>
      <c r="E58" s="21" t="inlineStr">
        <is>
          <t>FLORAMEC AVANCE, 5 L</t>
        </is>
      </c>
      <c r="F58" s="22" t="n">
        <v>0</v>
      </c>
      <c r="G58" s="23" t="n">
        <v>0</v>
      </c>
      <c r="H58" s="22">
        <f>ABS(G58-F58)</f>
        <v/>
      </c>
      <c r="I58" s="24">
        <f>IF(F58&gt;0, G58/F58, IF(G58&gt;0, 1.0, 0.0))</f>
        <v/>
      </c>
      <c r="J58" s="25" t="inlineStr"/>
      <c r="K58" s="26" t="n">
        <v>300</v>
      </c>
      <c r="L58" s="27" t="n">
        <v>300</v>
      </c>
      <c r="M58" s="26" t="n">
        <v>300</v>
      </c>
      <c r="N58" s="27" t="n">
        <v>300</v>
      </c>
      <c r="O58" s="26" t="n">
        <v>300</v>
      </c>
      <c r="P58" s="27" t="n">
        <v>300</v>
      </c>
      <c r="Q58" s="22">
        <f>K58+M58+O58</f>
        <v/>
      </c>
      <c r="R58" s="23">
        <f>L58+N58+P58</f>
        <v/>
      </c>
      <c r="S58" s="28">
        <f>R58-Q58</f>
        <v/>
      </c>
      <c r="T58" s="29" t="inlineStr"/>
    </row>
    <row r="59" ht="20" customHeight="1">
      <c r="B59" s="20" t="inlineStr">
        <is>
          <t>ESPAÑA</t>
        </is>
      </c>
      <c r="C59" s="21" t="inlineStr">
        <is>
          <t>GUIVARTO AGRICOLA, S.L.</t>
        </is>
      </c>
      <c r="D59" s="20" t="inlineStr">
        <is>
          <t>AVAN0020</t>
        </is>
      </c>
      <c r="E59" s="21" t="inlineStr">
        <is>
          <t>FLORAMEC AVANCE, 20 L</t>
        </is>
      </c>
      <c r="F59" s="22" t="n">
        <v>640</v>
      </c>
      <c r="G59" s="23" t="n">
        <v>640</v>
      </c>
      <c r="H59" s="22">
        <f>ABS(G59-F59)</f>
        <v/>
      </c>
      <c r="I59" s="24">
        <f>IF(F59&gt;0, G59/F59, IF(G59&gt;0, 1.0, 0.0))</f>
        <v/>
      </c>
      <c r="J59" s="25" t="inlineStr"/>
      <c r="K59" s="26" t="n">
        <v>640</v>
      </c>
      <c r="L59" s="27" t="n">
        <v>640</v>
      </c>
      <c r="M59" s="26" t="n">
        <v>0</v>
      </c>
      <c r="N59" s="27" t="n">
        <v>0</v>
      </c>
      <c r="O59" s="26" t="n">
        <v>0</v>
      </c>
      <c r="P59" s="27" t="n">
        <v>0</v>
      </c>
      <c r="Q59" s="22">
        <f>K59+M59+O59</f>
        <v/>
      </c>
      <c r="R59" s="23">
        <f>L59+N59+P59</f>
        <v/>
      </c>
      <c r="S59" s="28">
        <f>R59-Q59</f>
        <v/>
      </c>
      <c r="T59" s="29" t="inlineStr"/>
    </row>
    <row r="60" ht="20" customHeight="1">
      <c r="B60" s="20" t="inlineStr">
        <is>
          <t>ESPAÑA</t>
        </is>
      </c>
      <c r="C60" s="21" t="inlineStr">
        <is>
          <t>GUIVARTO AGRICOLA, S.L.</t>
        </is>
      </c>
      <c r="D60" s="20" t="inlineStr">
        <is>
          <t>BEY0020</t>
        </is>
      </c>
      <c r="E60" s="21" t="inlineStr">
        <is>
          <t>FLORAMEC PLUS 20 L</t>
        </is>
      </c>
      <c r="F60" s="22" t="n">
        <v>80</v>
      </c>
      <c r="G60" s="23" t="n">
        <v>80</v>
      </c>
      <c r="H60" s="22">
        <f>ABS(G60-F60)</f>
        <v/>
      </c>
      <c r="I60" s="24">
        <f>IF(F60&gt;0, G60/F60, IF(G60&gt;0, 1.0, 0.0))</f>
        <v/>
      </c>
      <c r="J60" s="25" t="inlineStr"/>
      <c r="K60" s="26" t="n">
        <v>0</v>
      </c>
      <c r="L60" s="27" t="n">
        <v>0</v>
      </c>
      <c r="M60" s="26" t="n">
        <v>0</v>
      </c>
      <c r="N60" s="27" t="n">
        <v>0</v>
      </c>
      <c r="O60" s="26" t="n">
        <v>0</v>
      </c>
      <c r="P60" s="27" t="n">
        <v>0</v>
      </c>
      <c r="Q60" s="22">
        <f>K60+M60+O60</f>
        <v/>
      </c>
      <c r="R60" s="23">
        <f>L60+N60+P60</f>
        <v/>
      </c>
      <c r="S60" s="28">
        <f>R60-Q60</f>
        <v/>
      </c>
      <c r="T60" s="29" t="inlineStr"/>
    </row>
    <row r="61" ht="20" customHeight="1">
      <c r="B61" s="20" t="inlineStr">
        <is>
          <t>ESPAÑA</t>
        </is>
      </c>
      <c r="C61" s="21" t="inlineStr">
        <is>
          <t>GUIVARTO AGRICOLA, S.L.</t>
        </is>
      </c>
      <c r="D61" s="20" t="inlineStr">
        <is>
          <t>BROTA0005</t>
        </is>
      </c>
      <c r="E61" s="21" t="inlineStr">
        <is>
          <t>BROTAMEC, 5 L</t>
        </is>
      </c>
      <c r="F61" s="22" t="n">
        <v>600</v>
      </c>
      <c r="G61" s="23" t="n">
        <v>600</v>
      </c>
      <c r="H61" s="22">
        <f>ABS(G61-F61)</f>
        <v/>
      </c>
      <c r="I61" s="24">
        <f>IF(F61&gt;0, G61/F61, IF(G61&gt;0, 1.0, 0.0))</f>
        <v/>
      </c>
      <c r="J61" s="25" t="inlineStr"/>
      <c r="K61" s="26" t="n">
        <v>0</v>
      </c>
      <c r="L61" s="27" t="n">
        <v>0</v>
      </c>
      <c r="M61" s="26" t="n">
        <v>0</v>
      </c>
      <c r="N61" s="27" t="n">
        <v>0</v>
      </c>
      <c r="O61" s="26" t="n">
        <v>300</v>
      </c>
      <c r="P61" s="27" t="n">
        <v>300</v>
      </c>
      <c r="Q61" s="22">
        <f>K61+M61+O61</f>
        <v/>
      </c>
      <c r="R61" s="23">
        <f>L61+N61+P61</f>
        <v/>
      </c>
      <c r="S61" s="28">
        <f>R61-Q61</f>
        <v/>
      </c>
      <c r="T61" s="29" t="inlineStr"/>
    </row>
    <row r="62" ht="20" customHeight="1">
      <c r="B62" s="20" t="inlineStr">
        <is>
          <t>ESPAÑA</t>
        </is>
      </c>
      <c r="C62" s="21" t="inlineStr">
        <is>
          <t>GUIVARTO AGRICOLA, S.L.</t>
        </is>
      </c>
      <c r="D62" s="20" t="inlineStr">
        <is>
          <t>C-GLB0001</t>
        </is>
      </c>
      <c r="E62" s="21" t="inlineStr">
        <is>
          <t>CODIORGAN GLB, 1 KG</t>
        </is>
      </c>
      <c r="F62" s="22" t="n">
        <v>0</v>
      </c>
      <c r="G62" s="23" t="n">
        <v>0</v>
      </c>
      <c r="H62" s="22">
        <f>ABS(G62-F62)</f>
        <v/>
      </c>
      <c r="I62" s="24">
        <f>IF(F62&gt;0, G62/F62, IF(G62&gt;0, 1.0, 0.0))</f>
        <v/>
      </c>
      <c r="J62" s="25" t="inlineStr"/>
      <c r="K62" s="26" t="n">
        <v>108</v>
      </c>
      <c r="L62" s="27" t="n">
        <v>108</v>
      </c>
      <c r="M62" s="26" t="n">
        <v>0</v>
      </c>
      <c r="N62" s="27" t="n">
        <v>0</v>
      </c>
      <c r="O62" s="26" t="n">
        <v>108</v>
      </c>
      <c r="P62" s="27" t="n">
        <v>108</v>
      </c>
      <c r="Q62" s="22">
        <f>K62+M62+O62</f>
        <v/>
      </c>
      <c r="R62" s="23">
        <f>L62+N62+P62</f>
        <v/>
      </c>
      <c r="S62" s="28">
        <f>R62-Q62</f>
        <v/>
      </c>
      <c r="T62" s="29" t="inlineStr"/>
    </row>
    <row r="63" ht="20" customHeight="1">
      <c r="B63" s="20" t="inlineStr">
        <is>
          <t>ESPAÑA</t>
        </is>
      </c>
      <c r="C63" s="21" t="inlineStr">
        <is>
          <t>GUIVARTO AGRICOLA, S.L.</t>
        </is>
      </c>
      <c r="D63" s="20" t="inlineStr">
        <is>
          <t>C-M-P0001</t>
        </is>
      </c>
      <c r="E63" s="21" t="inlineStr">
        <is>
          <t>CODIFOL Mo-PLUS, 1 L</t>
        </is>
      </c>
      <c r="F63" s="22" t="n">
        <v>36</v>
      </c>
      <c r="G63" s="23" t="n">
        <v>0</v>
      </c>
      <c r="H63" s="22">
        <f>ABS(G63-F63)</f>
        <v/>
      </c>
      <c r="I63" s="24">
        <f>IF(F63&gt;0, G63/F63, IF(G63&gt;0, 1.0, 0.0))</f>
        <v/>
      </c>
      <c r="J63" s="25" t="inlineStr"/>
      <c r="K63" s="26" t="n">
        <v>0</v>
      </c>
      <c r="L63" s="27" t="n">
        <v>0</v>
      </c>
      <c r="M63" s="26" t="n">
        <v>0</v>
      </c>
      <c r="N63" s="27" t="n">
        <v>0</v>
      </c>
      <c r="O63" s="26" t="n">
        <v>0</v>
      </c>
      <c r="P63" s="27" t="n">
        <v>0</v>
      </c>
      <c r="Q63" s="22">
        <f>K63+M63+O63</f>
        <v/>
      </c>
      <c r="R63" s="23">
        <f>L63+N63+P63</f>
        <v/>
      </c>
      <c r="S63" s="28">
        <f>R63-Q63</f>
        <v/>
      </c>
      <c r="T63" s="29" t="inlineStr"/>
    </row>
    <row r="64" ht="20" customHeight="1">
      <c r="B64" s="20" t="inlineStr">
        <is>
          <t>ESPAÑA</t>
        </is>
      </c>
      <c r="C64" s="21" t="inlineStr">
        <is>
          <t>GUIVARTO AGRICOLA, S.L.</t>
        </is>
      </c>
      <c r="D64" s="20" t="inlineStr">
        <is>
          <t>C-MB0005</t>
        </is>
      </c>
      <c r="E64" s="21" t="inlineStr">
        <is>
          <t>CODIFOL-MB, 5 L</t>
        </is>
      </c>
      <c r="F64" s="22" t="n">
        <v>0</v>
      </c>
      <c r="G64" s="23" t="n">
        <v>0</v>
      </c>
      <c r="H64" s="22">
        <f>ABS(G64-F64)</f>
        <v/>
      </c>
      <c r="I64" s="24">
        <f>IF(F64&gt;0, G64/F64, IF(G64&gt;0, 1.0, 0.0))</f>
        <v/>
      </c>
      <c r="J64" s="25" t="inlineStr"/>
      <c r="K64" s="26" t="n">
        <v>100</v>
      </c>
      <c r="L64" s="27" t="n">
        <v>100</v>
      </c>
      <c r="M64" s="26" t="n">
        <v>0</v>
      </c>
      <c r="N64" s="27" t="n">
        <v>0</v>
      </c>
      <c r="O64" s="26" t="n">
        <v>0</v>
      </c>
      <c r="P64" s="27" t="n">
        <v>0</v>
      </c>
      <c r="Q64" s="22">
        <f>K64+M64+O64</f>
        <v/>
      </c>
      <c r="R64" s="23">
        <f>L64+N64+P64</f>
        <v/>
      </c>
      <c r="S64" s="28">
        <f>R64-Q64</f>
        <v/>
      </c>
      <c r="T64" s="29" t="inlineStr"/>
    </row>
    <row r="65" ht="20" customHeight="1">
      <c r="B65" s="20" t="inlineStr">
        <is>
          <t>ESPAÑA</t>
        </is>
      </c>
      <c r="C65" s="21" t="inlineStr">
        <is>
          <t>GUIVARTO AGRICOLA, S.L.</t>
        </is>
      </c>
      <c r="D65" s="20" t="inlineStr">
        <is>
          <t>FTK0005</t>
        </is>
      </c>
      <c r="E65" s="21" t="inlineStr">
        <is>
          <t>FITOKONTROL CA FLOW, 5 KG</t>
        </is>
      </c>
      <c r="F65" s="22" t="n">
        <v>800</v>
      </c>
      <c r="G65" s="23" t="n">
        <v>800</v>
      </c>
      <c r="H65" s="22">
        <f>ABS(G65-F65)</f>
        <v/>
      </c>
      <c r="I65" s="24">
        <f>IF(F65&gt;0, G65/F65, IF(G65&gt;0, 1.0, 0.0))</f>
        <v/>
      </c>
      <c r="J65" s="25" t="inlineStr"/>
      <c r="K65" s="26" t="n">
        <v>0</v>
      </c>
      <c r="L65" s="27" t="n">
        <v>0</v>
      </c>
      <c r="M65" s="26" t="n">
        <v>0</v>
      </c>
      <c r="N65" s="27" t="n">
        <v>0</v>
      </c>
      <c r="O65" s="26" t="n">
        <v>600</v>
      </c>
      <c r="P65" s="27" t="n">
        <v>600</v>
      </c>
      <c r="Q65" s="22">
        <f>K65+M65+O65</f>
        <v/>
      </c>
      <c r="R65" s="23">
        <f>L65+N65+P65</f>
        <v/>
      </c>
      <c r="S65" s="28">
        <f>R65-Q65</f>
        <v/>
      </c>
      <c r="T65" s="29" t="inlineStr"/>
    </row>
    <row r="66" ht="20" customHeight="1">
      <c r="B66" s="20" t="inlineStr">
        <is>
          <t>ESPAÑA</t>
        </is>
      </c>
      <c r="C66" s="21" t="inlineStr">
        <is>
          <t>GUIVARTO AGRICOLA, S.L.</t>
        </is>
      </c>
      <c r="D66" s="20" t="inlineStr">
        <is>
          <t>HST0005</t>
        </is>
      </c>
      <c r="E66" s="21" t="inlineStr">
        <is>
          <t>HIDROSTRESS, 5 L</t>
        </is>
      </c>
      <c r="F66" s="22" t="n">
        <v>0</v>
      </c>
      <c r="G66" s="23" t="n">
        <v>0</v>
      </c>
      <c r="H66" s="22">
        <f>ABS(G66-F66)</f>
        <v/>
      </c>
      <c r="I66" s="24">
        <f>IF(F66&gt;0, G66/F66, IF(G66&gt;0, 1.0, 0.0))</f>
        <v/>
      </c>
      <c r="J66" s="25" t="inlineStr"/>
      <c r="K66" s="26" t="n">
        <v>40</v>
      </c>
      <c r="L66" s="27" t="n">
        <v>40</v>
      </c>
      <c r="M66" s="26" t="n">
        <v>40</v>
      </c>
      <c r="N66" s="27" t="n">
        <v>40</v>
      </c>
      <c r="O66" s="26" t="n">
        <v>40</v>
      </c>
      <c r="P66" s="27" t="n">
        <v>40</v>
      </c>
      <c r="Q66" s="22">
        <f>K66+M66+O66</f>
        <v/>
      </c>
      <c r="R66" s="23">
        <f>L66+N66+P66</f>
        <v/>
      </c>
      <c r="S66" s="28">
        <f>R66-Q66</f>
        <v/>
      </c>
      <c r="T66" s="29" t="inlineStr"/>
    </row>
    <row r="67" ht="20" customHeight="1">
      <c r="B67" s="20" t="inlineStr">
        <is>
          <t>ESPAÑA</t>
        </is>
      </c>
      <c r="C67" s="21" t="inlineStr">
        <is>
          <t>GUIVARTO AGRICOLA, S.L.</t>
        </is>
      </c>
      <c r="D67" s="20" t="inlineStr">
        <is>
          <t>P-5X0005</t>
        </is>
      </c>
      <c r="E67" s="21" t="inlineStr">
        <is>
          <t>P.M.S. 5x, 5 L</t>
        </is>
      </c>
      <c r="F67" s="22" t="n">
        <v>0</v>
      </c>
      <c r="G67" s="23" t="n">
        <v>0</v>
      </c>
      <c r="H67" s="22">
        <f>ABS(G67-F67)</f>
        <v/>
      </c>
      <c r="I67" s="24">
        <f>IF(F67&gt;0, G67/F67, IF(G67&gt;0, 1.0, 0.0))</f>
        <v/>
      </c>
      <c r="J67" s="25" t="inlineStr"/>
      <c r="K67" s="26" t="n">
        <v>0</v>
      </c>
      <c r="L67" s="27" t="n">
        <v>0</v>
      </c>
      <c r="M67" s="26" t="n">
        <v>0</v>
      </c>
      <c r="N67" s="27" t="n">
        <v>0</v>
      </c>
      <c r="O67" s="26" t="n">
        <v>100</v>
      </c>
      <c r="P67" s="27" t="n">
        <v>100</v>
      </c>
      <c r="Q67" s="22">
        <f>K67+M67+O67</f>
        <v/>
      </c>
      <c r="R67" s="23">
        <f>L67+N67+P67</f>
        <v/>
      </c>
      <c r="S67" s="28">
        <f>R67-Q67</f>
        <v/>
      </c>
      <c r="T67" s="29" t="inlineStr"/>
    </row>
    <row r="68" ht="20" customHeight="1">
      <c r="B68" s="20" t="inlineStr">
        <is>
          <t>ESPAÑA</t>
        </is>
      </c>
      <c r="C68" s="21" t="inlineStr">
        <is>
          <t>GUIVARTO AGRICOLA, S.L.</t>
        </is>
      </c>
      <c r="D68" s="20" t="inlineStr">
        <is>
          <t>PT0005</t>
        </is>
      </c>
      <c r="E68" s="21" t="inlineStr">
        <is>
          <t>AGROPOTASION, 5 L</t>
        </is>
      </c>
      <c r="F68" s="22" t="n">
        <v>0</v>
      </c>
      <c r="G68" s="23" t="n">
        <v>0</v>
      </c>
      <c r="H68" s="22">
        <f>ABS(G68-F68)</f>
        <v/>
      </c>
      <c r="I68" s="24">
        <f>IF(F68&gt;0, G68/F68, IF(G68&gt;0, 1.0, 0.0))</f>
        <v/>
      </c>
      <c r="J68" s="25" t="inlineStr"/>
      <c r="K68" s="26" t="n">
        <v>0</v>
      </c>
      <c r="L68" s="27" t="n">
        <v>0</v>
      </c>
      <c r="M68" s="26" t="n">
        <v>100</v>
      </c>
      <c r="N68" s="27" t="n">
        <v>100</v>
      </c>
      <c r="O68" s="26" t="n">
        <v>200</v>
      </c>
      <c r="P68" s="27" t="n">
        <v>200</v>
      </c>
      <c r="Q68" s="22">
        <f>K68+M68+O68</f>
        <v/>
      </c>
      <c r="R68" s="23">
        <f>L68+N68+P68</f>
        <v/>
      </c>
      <c r="S68" s="28">
        <f>R68-Q68</f>
        <v/>
      </c>
      <c r="T68" s="29" t="inlineStr"/>
    </row>
    <row r="69" ht="20" customHeight="1">
      <c r="B69" s="20" t="inlineStr">
        <is>
          <t>ESPAÑA</t>
        </is>
      </c>
      <c r="C69" s="21" t="inlineStr">
        <is>
          <t>GUIVARTO AGRICOLA, S.L.</t>
        </is>
      </c>
      <c r="D69" s="20" t="inlineStr">
        <is>
          <t>S0020</t>
        </is>
      </c>
      <c r="E69" s="21" t="inlineStr">
        <is>
          <t>SALWAX STAR, 20 L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 t="inlineStr"/>
      <c r="K69" s="26" t="n">
        <v>640</v>
      </c>
      <c r="L69" s="27" t="n">
        <v>640</v>
      </c>
      <c r="M69" s="26" t="n">
        <v>0</v>
      </c>
      <c r="N69" s="27" t="n">
        <v>0</v>
      </c>
      <c r="O69" s="26" t="n">
        <v>0</v>
      </c>
      <c r="P69" s="27" t="n">
        <v>0</v>
      </c>
      <c r="Q69" s="22">
        <f>K69+M69+O69</f>
        <v/>
      </c>
      <c r="R69" s="23">
        <f>L69+N69+P69</f>
        <v/>
      </c>
      <c r="S69" s="28">
        <f>R69-Q69</f>
        <v/>
      </c>
      <c r="T69" s="29" t="inlineStr"/>
    </row>
    <row r="70" ht="20" customHeight="1">
      <c r="B70" s="20" t="inlineStr">
        <is>
          <t>ESPAÑA</t>
        </is>
      </c>
      <c r="C70" s="21" t="inlineStr">
        <is>
          <t>GUIVARTO AGRICOLA, S.L.</t>
        </is>
      </c>
      <c r="D70" s="20" t="inlineStr">
        <is>
          <t>TRI0005</t>
        </is>
      </c>
      <c r="E70" s="21" t="inlineStr">
        <is>
          <t>TRIFENO-94, 5L</t>
        </is>
      </c>
      <c r="F70" s="22" t="n">
        <v>0</v>
      </c>
      <c r="G70" s="23" t="n">
        <v>0</v>
      </c>
      <c r="H70" s="22">
        <f>ABS(G70-F70)</f>
        <v/>
      </c>
      <c r="I70" s="24">
        <f>IF(F70&gt;0, G70/F70, IF(G70&gt;0, 1.0, 0.0))</f>
        <v/>
      </c>
      <c r="J70" s="25" t="inlineStr"/>
      <c r="K70" s="26" t="n">
        <v>300</v>
      </c>
      <c r="L70" s="27" t="n">
        <v>300</v>
      </c>
      <c r="M70" s="26" t="n">
        <v>300</v>
      </c>
      <c r="N70" s="27" t="n">
        <v>300</v>
      </c>
      <c r="O70" s="26" t="n">
        <v>0</v>
      </c>
      <c r="P70" s="27" t="n">
        <v>0</v>
      </c>
      <c r="Q70" s="22">
        <f>K70+M70+O70</f>
        <v/>
      </c>
      <c r="R70" s="23">
        <f>L70+N70+P70</f>
        <v/>
      </c>
      <c r="S70" s="28">
        <f>R70-Q70</f>
        <v/>
      </c>
      <c r="T70" s="29" t="inlineStr"/>
    </row>
    <row r="71" ht="20" customHeight="1">
      <c r="B71" s="20" t="inlineStr">
        <is>
          <t>ESPAÑA</t>
        </is>
      </c>
      <c r="C71" s="21" t="inlineStr">
        <is>
          <t>SUCA, S.C.A.</t>
        </is>
      </c>
      <c r="D71" s="20" t="inlineStr">
        <is>
          <t>AGXK0020</t>
        </is>
      </c>
      <c r="E71" s="21" t="inlineStr">
        <is>
          <t>AGROXILATO-K, 20 L</t>
        </is>
      </c>
      <c r="F71" s="22" t="n">
        <v>0</v>
      </c>
      <c r="G71" s="23" t="n">
        <v>640</v>
      </c>
      <c r="H71" s="22">
        <f>ABS(G71-F71)</f>
        <v/>
      </c>
      <c r="I71" s="24">
        <f>IF(F71&gt;0, G71/F71, IF(G71&gt;0, 1.0, 0.0))</f>
        <v/>
      </c>
      <c r="J71" s="25" t="inlineStr">
        <is>
          <t>Pedido extra no previsto</t>
        </is>
      </c>
      <c r="K71" s="26" t="n">
        <v>2760</v>
      </c>
      <c r="L71" s="27" t="n">
        <v>2760</v>
      </c>
      <c r="M71" s="26" t="n">
        <v>1280</v>
      </c>
      <c r="N71" s="27" t="n">
        <v>1280</v>
      </c>
      <c r="O71" s="26" t="n">
        <v>1280</v>
      </c>
      <c r="P71" s="27" t="n">
        <v>1280</v>
      </c>
      <c r="Q71" s="22">
        <f>K71+M71+O71</f>
        <v/>
      </c>
      <c r="R71" s="23">
        <f>L71+N71+P71</f>
        <v/>
      </c>
      <c r="S71" s="28">
        <f>R71-Q71</f>
        <v/>
      </c>
      <c r="T71" s="29" t="inlineStr"/>
    </row>
    <row r="72" ht="20" customHeight="1">
      <c r="B72" s="20" t="inlineStr">
        <is>
          <t>ESPAÑA</t>
        </is>
      </c>
      <c r="C72" s="21" t="inlineStr">
        <is>
          <t>SUCA, S.C.A.</t>
        </is>
      </c>
      <c r="D72" s="20" t="inlineStr">
        <is>
          <t>AGXK0200</t>
        </is>
      </c>
      <c r="E72" s="21" t="inlineStr">
        <is>
          <t>AGROXILATO-K, 200 L</t>
        </is>
      </c>
      <c r="F72" s="22" t="n">
        <v>0</v>
      </c>
      <c r="G72" s="23" t="n">
        <v>0</v>
      </c>
      <c r="H72" s="22">
        <f>ABS(G72-F72)</f>
        <v/>
      </c>
      <c r="I72" s="24">
        <f>IF(F72&gt;0, G72/F72, IF(G72&gt;0, 1.0, 0.0))</f>
        <v/>
      </c>
      <c r="J72" s="25" t="inlineStr"/>
      <c r="K72" s="26" t="n">
        <v>0</v>
      </c>
      <c r="L72" s="27" t="n">
        <v>0</v>
      </c>
      <c r="M72" s="26" t="n">
        <v>0</v>
      </c>
      <c r="N72" s="27" t="n">
        <v>0</v>
      </c>
      <c r="O72" s="26" t="n">
        <v>200</v>
      </c>
      <c r="P72" s="27" t="n">
        <v>200</v>
      </c>
      <c r="Q72" s="22">
        <f>K72+M72+O72</f>
        <v/>
      </c>
      <c r="R72" s="23">
        <f>L72+N72+P72</f>
        <v/>
      </c>
      <c r="S72" s="28">
        <f>R72-Q72</f>
        <v/>
      </c>
      <c r="T72" s="29" t="inlineStr"/>
    </row>
    <row r="73" ht="20" customHeight="1">
      <c r="B73" s="20" t="inlineStr">
        <is>
          <t>ESPAÑA</t>
        </is>
      </c>
      <c r="C73" s="21" t="inlineStr">
        <is>
          <t>SUCA, S.C.A.</t>
        </is>
      </c>
      <c r="D73" s="20" t="inlineStr">
        <is>
          <t>AVAN0020</t>
        </is>
      </c>
      <c r="E73" s="21" t="inlineStr">
        <is>
          <t>FLORAMEC AVANCE, 20 L</t>
        </is>
      </c>
      <c r="F73" s="22" t="n">
        <v>0</v>
      </c>
      <c r="G73" s="23" t="n">
        <v>200</v>
      </c>
      <c r="H73" s="22">
        <f>ABS(G73-F73)</f>
        <v/>
      </c>
      <c r="I73" s="24">
        <f>IF(F73&gt;0, G73/F73, IF(G73&gt;0, 1.0, 0.0))</f>
        <v/>
      </c>
      <c r="J73" s="25" t="inlineStr">
        <is>
          <t>Pedido extra no previsto</t>
        </is>
      </c>
      <c r="K73" s="26" t="n">
        <v>0</v>
      </c>
      <c r="L73" s="27" t="n">
        <v>0</v>
      </c>
      <c r="M73" s="26" t="n">
        <v>0</v>
      </c>
      <c r="N73" s="27" t="n">
        <v>0</v>
      </c>
      <c r="O73" s="26" t="n">
        <v>200</v>
      </c>
      <c r="P73" s="27" t="n">
        <v>200</v>
      </c>
      <c r="Q73" s="22">
        <f>K73+M73+O73</f>
        <v/>
      </c>
      <c r="R73" s="23">
        <f>L73+N73+P73</f>
        <v/>
      </c>
      <c r="S73" s="28">
        <f>R73-Q73</f>
        <v/>
      </c>
      <c r="T73" s="29" t="inlineStr"/>
    </row>
    <row r="74" ht="25" customHeight="1">
      <c r="B74" s="30" t="inlineStr">
        <is>
          <t>TOTAL CONSOLIDADO - IRENE (UNIDADES)</t>
        </is>
      </c>
      <c r="C74" s="31" t="n"/>
      <c r="D74" s="31" t="n"/>
      <c r="E74" s="31" t="n"/>
      <c r="F74" s="32">
        <f>SUM(F10:F73)</f>
        <v/>
      </c>
      <c r="G74" s="32">
        <f>SUM(G10:G73)</f>
        <v/>
      </c>
      <c r="H74" s="32">
        <f>SUM(H10:H73)</f>
        <v/>
      </c>
      <c r="I74" s="33">
        <f>IF(F74&gt;0, G74/F74, 1.0)</f>
        <v/>
      </c>
      <c r="J74" s="34" t="n"/>
      <c r="K74" s="32">
        <f>SUM(K10:K73)</f>
        <v/>
      </c>
      <c r="L74" s="32">
        <f>SUM(L10:L73)</f>
        <v/>
      </c>
      <c r="M74" s="32">
        <f>SUM(M10:M73)</f>
        <v/>
      </c>
      <c r="N74" s="32">
        <f>SUM(N10:N73)</f>
        <v/>
      </c>
      <c r="O74" s="32">
        <f>SUM(O10:O73)</f>
        <v/>
      </c>
      <c r="P74" s="32">
        <f>SUM(P10:P73)</f>
        <v/>
      </c>
      <c r="Q74" s="32">
        <f>SUM(Q10:Q73)</f>
        <v/>
      </c>
      <c r="R74" s="32">
        <f>SUM(R10:R73)</f>
        <v/>
      </c>
      <c r="S74" s="35">
        <f>SUM(S10:S73)</f>
        <v/>
      </c>
      <c r="T74" s="34" t="n"/>
    </row>
  </sheetData>
  <mergeCells count="20">
    <mergeCell ref="B74:E74"/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2026-10-01T12:16:56Z</dcterms:created>
  <dcterms:modified xmlns:dcterms="http://purl.org/dc/terms/" xmlns:xsi="http://www.w3.org/2001/XMLSchema-instance" xsi:type="dcterms:W3CDTF">2026-10-01T12:16:56Z</dcterms:modified>
</cp:coreProperties>
</file>