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ones_Ped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+#,##0;-#,##0;0"/>
    <numFmt numFmtId="165" formatCode="0.0%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3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6" fontId="12" fillId="13" borderId="1" applyAlignment="1" pivotButton="0" quotePrefix="0" xfId="0">
      <alignment horizontal="center" vertical="center"/>
    </xf>
    <xf numFmtId="165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2" borderId="1" applyAlignment="1" pivotButton="0" quotePrefix="0" xfId="0">
      <alignment horizontal="right" vertical="center"/>
    </xf>
    <xf numFmtId="3" fontId="8" fillId="13" borderId="2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0" fontId="9" fillId="14" borderId="3" applyAlignment="1" pivotButton="0" quotePrefix="0" xfId="0">
      <alignment horizontal="right" vertical="center" indent="1"/>
    </xf>
    <xf numFmtId="0" fontId="0" fillId="0" borderId="3" pivotButton="0" quotePrefix="0" xfId="0"/>
    <xf numFmtId="3" fontId="9" fillId="14" borderId="3" applyAlignment="1" pivotButton="0" quotePrefix="0" xfId="0">
      <alignment horizontal="right" vertical="center"/>
    </xf>
    <xf numFmtId="164" fontId="9" fillId="14" borderId="3" applyAlignment="1" pivotButton="0" quotePrefix="0" xfId="0">
      <alignment horizontal="right" vertical="center"/>
    </xf>
    <xf numFmtId="165" fontId="9" fillId="14" borderId="3" applyAlignment="1" pivotButton="0" quotePrefix="0" xfId="0">
      <alignment horizontal="right" vertical="center"/>
    </xf>
    <xf numFmtId="0" fontId="0" fillId="14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V5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6" customWidth="1" min="9" max="9"/>
    <col width="13" customWidth="1" min="10" max="10"/>
    <col width="17" customWidth="1" min="11" max="11"/>
    <col width="32" customWidth="1" min="12" max="12"/>
    <col width="15" customWidth="1" min="13" max="13"/>
    <col width="16" customWidth="1" min="14" max="14"/>
    <col width="15" customWidth="1" min="15" max="15"/>
    <col width="16" customWidth="1" min="16" max="16"/>
    <col width="15" customWidth="1" min="17" max="17"/>
    <col width="16" customWidth="1" min="18" max="18"/>
    <col width="17" customWidth="1" min="19" max="19"/>
    <col width="17" customWidth="1" min="20" max="20"/>
    <col width="15" customWidth="1" min="21" max="21"/>
    <col width="34" customWidth="1" min="22" max="22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PEDRO | Cierre Septiembre Oficial (01/10/2026) vs Previsiones a Final de Año | Generado: 01/10/2026 10:45</t>
        </is>
      </c>
    </row>
    <row r="4" ht="26" customHeight="1">
      <c r="B4" s="3" t="inlineStr">
        <is>
          <t>📌 INSTRUCCIONES: 1) Revise el bloque de SEPTIEMBRE (Previsto, Real, Error Absoluto y Forecast Accuracy) e indique en col. L el motivo de la desviación (adelanto, atraso, extra). 2) En las columnas verdes (N, P, R), revise y actualice las cantidades estimadas de Octubre, Noviembre y Diciembre si prevé cambios. 3) Comente en col. V cualquier nota de campaña.</t>
        </is>
      </c>
    </row>
    <row r="5" ht="16" customHeight="1">
      <c r="B5" s="4" t="inlineStr">
        <is>
          <t>PREVISTO SEP 2026 (U)</t>
        </is>
      </c>
      <c r="C5" s="5" t="n"/>
      <c r="D5" s="5" t="n"/>
      <c r="E5" s="6" t="inlineStr">
        <is>
          <t>REAL PEDIDOS SEP 2026 (U)</t>
        </is>
      </c>
      <c r="F5" s="5" t="n"/>
      <c r="G5" s="5" t="n"/>
      <c r="H5" s="7" t="inlineStr">
        <is>
          <t>% CONSECUCIÓN SEP</t>
        </is>
      </c>
      <c r="I5" s="5" t="n"/>
      <c r="J5" s="7" t="inlineStr">
        <is>
          <t>FORECAST ACCURACY SEP (OFICIAL)</t>
        </is>
      </c>
      <c r="K5" s="5" t="n"/>
      <c r="L5" s="5" t="n"/>
      <c r="M5" s="4" t="inlineStr">
        <is>
          <t>PREVISIÓN INICIAL Q4 (U)</t>
        </is>
      </c>
      <c r="N5" s="5" t="n"/>
      <c r="O5" s="5" t="n"/>
      <c r="P5" s="6" t="inlineStr">
        <is>
          <t>PREVISIÓN REVISADA Q4 (U)</t>
        </is>
      </c>
      <c r="Q5" s="5" t="n"/>
      <c r="R5" s="5" t="n"/>
      <c r="S5" s="8" t="inlineStr">
        <is>
          <t>VARIACIÓN NETA Q4 (U)</t>
        </is>
      </c>
      <c r="T5" s="5" t="n"/>
      <c r="U5" s="5" t="n"/>
      <c r="V5" s="5" t="n"/>
    </row>
    <row r="6" ht="26" customHeight="1">
      <c r="B6" s="9">
        <f>F52</f>
        <v/>
      </c>
      <c r="C6" s="5" t="n"/>
      <c r="D6" s="5" t="n"/>
      <c r="E6" s="10">
        <f>G52</f>
        <v/>
      </c>
      <c r="F6" s="5" t="n"/>
      <c r="G6" s="5" t="n"/>
      <c r="H6" s="11">
        <f>J52</f>
        <v/>
      </c>
      <c r="I6" s="5" t="n"/>
      <c r="J6" s="11">
        <f>K52</f>
        <v/>
      </c>
      <c r="K6" s="5" t="n"/>
      <c r="L6" s="5" t="n"/>
      <c r="M6" s="9">
        <f>S52</f>
        <v/>
      </c>
      <c r="N6" s="5" t="n"/>
      <c r="O6" s="5" t="n"/>
      <c r="P6" s="10">
        <f>T52</f>
        <v/>
      </c>
      <c r="Q6" s="5" t="n"/>
      <c r="R6" s="5" t="n"/>
      <c r="S6" s="12">
        <f>U52</f>
        <v/>
      </c>
      <c r="T6" s="5" t="n"/>
      <c r="U6" s="5" t="n"/>
      <c r="V6" s="5" t="n"/>
    </row>
    <row r="8" ht="22" customHeight="1">
      <c r="B8" s="13" t="inlineStr">
        <is>
          <t>DATOS CLIENTE Y ARTÍCULO</t>
        </is>
      </c>
      <c r="F8" s="14" t="inlineStr">
        <is>
          <t>CIERRE SEPTIEMBRE 2026 (CALIBRACIÓN Y ANÁLISIS DE EXACTITUD)</t>
        </is>
      </c>
      <c r="M8" s="15" t="inlineStr">
        <is>
          <t>REVISIÓN PREVISIONES MES A MES (HASTA FINAL DE AÑO 2026)</t>
        </is>
      </c>
      <c r="S8" s="16" t="inlineStr">
        <is>
          <t>IMPACTO Q4 Y JUSTIFICACIÓN</t>
        </is>
      </c>
    </row>
    <row r="9" ht="28" customHeight="1">
      <c r="B9" s="17" t="inlineStr">
        <is>
          <t>País</t>
        </is>
      </c>
      <c r="C9" s="17" t="inlineStr">
        <is>
          <t>Cliente</t>
        </is>
      </c>
      <c r="D9" s="17" t="inlineStr">
        <is>
          <t>Cód. SKU</t>
        </is>
      </c>
      <c r="E9" s="17" t="inlineStr">
        <is>
          <t>Descripción Artículo</t>
        </is>
      </c>
      <c r="F9" s="18" t="inlineStr">
        <is>
          <t>Sep Previsto (u)</t>
        </is>
      </c>
      <c r="G9" s="18" t="inlineStr">
        <is>
          <t>Sep Real (u)</t>
        </is>
      </c>
      <c r="H9" s="18" t="inlineStr">
        <is>
          <t>Desv. Sep (u)</t>
        </is>
      </c>
      <c r="I9" s="18" t="inlineStr">
        <is>
          <t>Error Abs. Sep (u)</t>
        </is>
      </c>
      <c r="J9" s="18" t="inlineStr">
        <is>
          <t>% Consec.</t>
        </is>
      </c>
      <c r="K9" s="18" t="inlineStr">
        <is>
          <t>Forecast Accuracy</t>
        </is>
      </c>
      <c r="L9" s="18" t="inlineStr">
        <is>
          <t>Comentario Sep (¿Adelanto/Atraso/Extra?)</t>
        </is>
      </c>
      <c r="M9" s="19" t="inlineStr">
        <is>
          <t>Oct Anterior (u)</t>
        </is>
      </c>
      <c r="N9" s="19" t="inlineStr">
        <is>
          <t>Oct Revisado (u)</t>
        </is>
      </c>
      <c r="O9" s="19" t="inlineStr">
        <is>
          <t>Nov Anterior (u)</t>
        </is>
      </c>
      <c r="P9" s="19" t="inlineStr">
        <is>
          <t>Nov Revisado (u)</t>
        </is>
      </c>
      <c r="Q9" s="19" t="inlineStr">
        <is>
          <t>Dic Anterior (u)</t>
        </is>
      </c>
      <c r="R9" s="19" t="inlineStr">
        <is>
          <t>Dic Revisado (u)</t>
        </is>
      </c>
      <c r="S9" s="17" t="inlineStr">
        <is>
          <t>Total Q4 Ant (u)</t>
        </is>
      </c>
      <c r="T9" s="17" t="inlineStr">
        <is>
          <t>Total Q4 Rev (u)</t>
        </is>
      </c>
      <c r="U9" s="17" t="inlineStr">
        <is>
          <t>Dif Q4 (u)</t>
        </is>
      </c>
      <c r="V9" s="17" t="inlineStr">
        <is>
          <t>Comentarios / Justificación Q4</t>
        </is>
      </c>
    </row>
    <row r="10" ht="20" customHeight="1">
      <c r="B10" s="20" t="inlineStr">
        <is>
          <t>ESPAÑA</t>
        </is>
      </c>
      <c r="C10" s="21" t="inlineStr">
        <is>
          <t>ASESORAMIENTO TECNICO DE CULTIVOS, S.L.</t>
        </is>
      </c>
      <c r="D10" s="20" t="inlineStr">
        <is>
          <t>AGXK0020</t>
        </is>
      </c>
      <c r="E10" s="22" t="inlineStr">
        <is>
          <t>AGROXILATO-K, 20 L</t>
        </is>
      </c>
      <c r="F10" s="23" t="n">
        <v>640</v>
      </c>
      <c r="G10" s="24" t="n">
        <v>0</v>
      </c>
      <c r="H10" s="25">
        <f>G10-F10</f>
        <v/>
      </c>
      <c r="I10" s="23">
        <f>ABS(G10-F10)</f>
        <v/>
      </c>
      <c r="J10" s="26">
        <f>IF(F10&gt;0, G10/F10, IF(G10&gt;0, 1.0, 0.0))</f>
        <v/>
      </c>
      <c r="K10" s="27">
        <f>IF(F10&gt;0, 1.0 - (I10/F10), IF(G10=0, 1.0, 0.0))</f>
        <v/>
      </c>
      <c r="L10" s="28" t="inlineStr"/>
      <c r="M10" s="29" t="n">
        <v>640</v>
      </c>
      <c r="N10" s="30" t="n">
        <v>640</v>
      </c>
      <c r="O10" s="29" t="n">
        <v>0</v>
      </c>
      <c r="P10" s="30" t="n">
        <v>0</v>
      </c>
      <c r="Q10" s="29" t="n">
        <v>0</v>
      </c>
      <c r="R10" s="30" t="n">
        <v>0</v>
      </c>
      <c r="S10" s="23">
        <f>M10+O10+Q10</f>
        <v/>
      </c>
      <c r="T10" s="24">
        <f>N10+P10+R10</f>
        <v/>
      </c>
      <c r="U10" s="25">
        <f>T10-S10</f>
        <v/>
      </c>
      <c r="V10" s="31" t="inlineStr"/>
    </row>
    <row r="11" ht="20" customHeight="1">
      <c r="B11" s="20" t="inlineStr">
        <is>
          <t>ESPAÑA</t>
        </is>
      </c>
      <c r="C11" s="21" t="inlineStr">
        <is>
          <t>ASESORAMIENTO TECNICO DE CULTIVOS, S.L.</t>
        </is>
      </c>
      <c r="D11" s="20" t="inlineStr">
        <is>
          <t>B0005</t>
        </is>
      </c>
      <c r="E11" s="22" t="inlineStr">
        <is>
          <t>BOROCAL, 5 L</t>
        </is>
      </c>
      <c r="F11" s="23" t="n">
        <v>300</v>
      </c>
      <c r="G11" s="24" t="n">
        <v>0</v>
      </c>
      <c r="H11" s="25">
        <f>G11-F11</f>
        <v/>
      </c>
      <c r="I11" s="23">
        <f>ABS(G11-F11)</f>
        <v/>
      </c>
      <c r="J11" s="26">
        <f>IF(F11&gt;0, G11/F11, IF(G11&gt;0, 1.0, 0.0))</f>
        <v/>
      </c>
      <c r="K11" s="27">
        <f>IF(F11&gt;0, 1.0 - (I11/F11), IF(G11=0, 1.0, 0.0))</f>
        <v/>
      </c>
      <c r="L11" s="28" t="inlineStr"/>
      <c r="M11" s="29" t="n">
        <v>0</v>
      </c>
      <c r="N11" s="30" t="n">
        <v>0</v>
      </c>
      <c r="O11" s="29" t="n">
        <v>0</v>
      </c>
      <c r="P11" s="30" t="n">
        <v>0</v>
      </c>
      <c r="Q11" s="29" t="n">
        <v>0</v>
      </c>
      <c r="R11" s="30" t="n">
        <v>0</v>
      </c>
      <c r="S11" s="23">
        <f>M11+O11+Q11</f>
        <v/>
      </c>
      <c r="T11" s="24">
        <f>N11+P11+R11</f>
        <v/>
      </c>
      <c r="U11" s="25">
        <f>T11-S11</f>
        <v/>
      </c>
      <c r="V11" s="31" t="inlineStr"/>
    </row>
    <row r="12" ht="20" customHeight="1">
      <c r="B12" s="20" t="inlineStr">
        <is>
          <t>ESPAÑA</t>
        </is>
      </c>
      <c r="C12" s="21" t="inlineStr">
        <is>
          <t>ASESORAMIENTO TECNICO DE CULTIVOS, S.L.</t>
        </is>
      </c>
      <c r="D12" s="20" t="inlineStr">
        <is>
          <t>B0020</t>
        </is>
      </c>
      <c r="E12" s="22" t="inlineStr">
        <is>
          <t>BOROCAL, 20 L</t>
        </is>
      </c>
      <c r="F12" s="23" t="n">
        <v>1280</v>
      </c>
      <c r="G12" s="24" t="n">
        <v>0</v>
      </c>
      <c r="H12" s="25">
        <f>G12-F12</f>
        <v/>
      </c>
      <c r="I12" s="23">
        <f>ABS(G12-F12)</f>
        <v/>
      </c>
      <c r="J12" s="26">
        <f>IF(F12&gt;0, G12/F12, IF(G12&gt;0, 1.0, 0.0))</f>
        <v/>
      </c>
      <c r="K12" s="27">
        <f>IF(F12&gt;0, 1.0 - (I12/F12), IF(G12=0, 1.0, 0.0))</f>
        <v/>
      </c>
      <c r="L12" s="28" t="inlineStr"/>
      <c r="M12" s="29" t="n">
        <v>640</v>
      </c>
      <c r="N12" s="30" t="n">
        <v>640</v>
      </c>
      <c r="O12" s="29" t="n">
        <v>640</v>
      </c>
      <c r="P12" s="30" t="n">
        <v>640</v>
      </c>
      <c r="Q12" s="29" t="n">
        <v>0</v>
      </c>
      <c r="R12" s="30" t="n">
        <v>0</v>
      </c>
      <c r="S12" s="23">
        <f>M12+O12+Q12</f>
        <v/>
      </c>
      <c r="T12" s="24">
        <f>N12+P12+R12</f>
        <v/>
      </c>
      <c r="U12" s="25">
        <f>T12-S12</f>
        <v/>
      </c>
      <c r="V12" s="31" t="inlineStr"/>
    </row>
    <row r="13" ht="20" customHeight="1">
      <c r="B13" s="20" t="inlineStr">
        <is>
          <t>ESPAÑA</t>
        </is>
      </c>
      <c r="C13" s="21" t="inlineStr">
        <is>
          <t>ASESORAMIENTO TECNICO DE CULTIVOS, S.L.</t>
        </is>
      </c>
      <c r="D13" s="20" t="inlineStr">
        <is>
          <t>C-CU0020</t>
        </is>
      </c>
      <c r="E13" s="22" t="inlineStr">
        <is>
          <t>CODICOBRE, 20 L</t>
        </is>
      </c>
      <c r="F13" s="23" t="n">
        <v>1280</v>
      </c>
      <c r="G13" s="24" t="n">
        <v>0</v>
      </c>
      <c r="H13" s="25">
        <f>G13-F13</f>
        <v/>
      </c>
      <c r="I13" s="23">
        <f>ABS(G13-F13)</f>
        <v/>
      </c>
      <c r="J13" s="26">
        <f>IF(F13&gt;0, G13/F13, IF(G13&gt;0, 1.0, 0.0))</f>
        <v/>
      </c>
      <c r="K13" s="27">
        <f>IF(F13&gt;0, 1.0 - (I13/F13), IF(G13=0, 1.0, 0.0))</f>
        <v/>
      </c>
      <c r="L13" s="28" t="inlineStr"/>
      <c r="M13" s="29" t="n">
        <v>640</v>
      </c>
      <c r="N13" s="30" t="n">
        <v>640</v>
      </c>
      <c r="O13" s="29" t="n">
        <v>1280</v>
      </c>
      <c r="P13" s="30" t="n">
        <v>1280</v>
      </c>
      <c r="Q13" s="29" t="n">
        <v>0</v>
      </c>
      <c r="R13" s="30" t="n">
        <v>0</v>
      </c>
      <c r="S13" s="23">
        <f>M13+O13+Q13</f>
        <v/>
      </c>
      <c r="T13" s="24">
        <f>N13+P13+R13</f>
        <v/>
      </c>
      <c r="U13" s="25">
        <f>T13-S13</f>
        <v/>
      </c>
      <c r="V13" s="31" t="inlineStr"/>
    </row>
    <row r="14" ht="20" customHeight="1">
      <c r="B14" s="20" t="inlineStr">
        <is>
          <t>ESPAÑA</t>
        </is>
      </c>
      <c r="C14" s="21" t="inlineStr">
        <is>
          <t>ASESORAMIENTO TECNICO DE CULTIVOS, S.L.</t>
        </is>
      </c>
      <c r="D14" s="20" t="inlineStr">
        <is>
          <t>CBASI0005</t>
        </is>
      </c>
      <c r="E14" s="22" t="inlineStr">
        <is>
          <t>BIOCULTURE BASI, 5 KG</t>
        </is>
      </c>
      <c r="F14" s="23" t="n">
        <v>0</v>
      </c>
      <c r="G14" s="24" t="n">
        <v>0</v>
      </c>
      <c r="H14" s="25">
        <f>G14-F14</f>
        <v/>
      </c>
      <c r="I14" s="23">
        <f>ABS(G14-F14)</f>
        <v/>
      </c>
      <c r="J14" s="26">
        <f>IF(F14&gt;0, G14/F14, IF(G14&gt;0, 1.0, 0.0))</f>
        <v/>
      </c>
      <c r="K14" s="27">
        <f>IF(F14&gt;0, 1.0 - (I14/F14), IF(G14=0, 1.0, 0.0))</f>
        <v/>
      </c>
      <c r="L14" s="28" t="inlineStr"/>
      <c r="M14" s="29" t="n">
        <v>500</v>
      </c>
      <c r="N14" s="30" t="n">
        <v>500</v>
      </c>
      <c r="O14" s="29" t="n">
        <v>0</v>
      </c>
      <c r="P14" s="30" t="n">
        <v>0</v>
      </c>
      <c r="Q14" s="29" t="n">
        <v>0</v>
      </c>
      <c r="R14" s="30" t="n">
        <v>0</v>
      </c>
      <c r="S14" s="23">
        <f>M14+O14+Q14</f>
        <v/>
      </c>
      <c r="T14" s="24">
        <f>N14+P14+R14</f>
        <v/>
      </c>
      <c r="U14" s="25">
        <f>T14-S14</f>
        <v/>
      </c>
      <c r="V14" s="31" t="inlineStr"/>
    </row>
    <row r="15" ht="20" customHeight="1">
      <c r="B15" s="20" t="inlineStr">
        <is>
          <t>ESPAÑA</t>
        </is>
      </c>
      <c r="C15" s="21" t="inlineStr">
        <is>
          <t>ASESORAMIENTO TECNICO DE CULTIVOS, S.L.</t>
        </is>
      </c>
      <c r="D15" s="20" t="inlineStr">
        <is>
          <t>PT0020</t>
        </is>
      </c>
      <c r="E15" s="22" t="inlineStr">
        <is>
          <t>AGROPOTASION, 20 L</t>
        </is>
      </c>
      <c r="F15" s="23" t="n">
        <v>2560</v>
      </c>
      <c r="G15" s="24" t="n">
        <v>1920</v>
      </c>
      <c r="H15" s="25">
        <f>G15-F15</f>
        <v/>
      </c>
      <c r="I15" s="23">
        <f>ABS(G15-F15)</f>
        <v/>
      </c>
      <c r="J15" s="26">
        <f>IF(F15&gt;0, G15/F15, IF(G15&gt;0, 1.0, 0.0))</f>
        <v/>
      </c>
      <c r="K15" s="27">
        <f>IF(F15&gt;0, 1.0 - (I15/F15), IF(G15=0, 1.0, 0.0))</f>
        <v/>
      </c>
      <c r="L15" s="28" t="inlineStr"/>
      <c r="M15" s="29" t="n">
        <v>1920</v>
      </c>
      <c r="N15" s="30" t="n">
        <v>1920</v>
      </c>
      <c r="O15" s="29" t="n">
        <v>1920</v>
      </c>
      <c r="P15" s="30" t="n">
        <v>1920</v>
      </c>
      <c r="Q15" s="29" t="n">
        <v>0</v>
      </c>
      <c r="R15" s="30" t="n">
        <v>0</v>
      </c>
      <c r="S15" s="23">
        <f>M15+O15+Q15</f>
        <v/>
      </c>
      <c r="T15" s="24">
        <f>N15+P15+R15</f>
        <v/>
      </c>
      <c r="U15" s="25">
        <f>T15-S15</f>
        <v/>
      </c>
      <c r="V15" s="31" t="inlineStr"/>
    </row>
    <row r="16" ht="20" customHeight="1">
      <c r="B16" s="20" t="inlineStr">
        <is>
          <t>ESPAÑA</t>
        </is>
      </c>
      <c r="C16" s="21" t="inlineStr">
        <is>
          <t>COMERCIAL TÉCNICA FITOCARTHAGO, S.L.</t>
        </is>
      </c>
      <c r="D16" s="20" t="inlineStr">
        <is>
          <t>AGXK0200</t>
        </is>
      </c>
      <c r="E16" s="22" t="inlineStr">
        <is>
          <t>AGROXILATO-K, 200 L</t>
        </is>
      </c>
      <c r="F16" s="23" t="n">
        <v>400</v>
      </c>
      <c r="G16" s="24" t="n">
        <v>0</v>
      </c>
      <c r="H16" s="25">
        <f>G16-F16</f>
        <v/>
      </c>
      <c r="I16" s="23">
        <f>ABS(G16-F16)</f>
        <v/>
      </c>
      <c r="J16" s="26">
        <f>IF(F16&gt;0, G16/F16, IF(G16&gt;0, 1.0, 0.0))</f>
        <v/>
      </c>
      <c r="K16" s="27">
        <f>IF(F16&gt;0, 1.0 - (I16/F16), IF(G16=0, 1.0, 0.0))</f>
        <v/>
      </c>
      <c r="L16" s="28" t="inlineStr"/>
      <c r="M16" s="29" t="n">
        <v>800</v>
      </c>
      <c r="N16" s="30" t="n">
        <v>800</v>
      </c>
      <c r="O16" s="29" t="n">
        <v>0</v>
      </c>
      <c r="P16" s="30" t="n">
        <v>0</v>
      </c>
      <c r="Q16" s="29" t="n">
        <v>0</v>
      </c>
      <c r="R16" s="30" t="n">
        <v>0</v>
      </c>
      <c r="S16" s="23">
        <f>M16+O16+Q16</f>
        <v/>
      </c>
      <c r="T16" s="24">
        <f>N16+P16+R16</f>
        <v/>
      </c>
      <c r="U16" s="25">
        <f>T16-S16</f>
        <v/>
      </c>
      <c r="V16" s="31" t="inlineStr"/>
    </row>
    <row r="17" ht="20" customHeight="1">
      <c r="B17" s="20" t="inlineStr">
        <is>
          <t>ESPAÑA</t>
        </is>
      </c>
      <c r="C17" s="21" t="inlineStr">
        <is>
          <t>COMERCIAL TÉCNICA FITOCARTHAGO, S.L.</t>
        </is>
      </c>
      <c r="D17" s="20" t="inlineStr">
        <is>
          <t>AGXK1000</t>
        </is>
      </c>
      <c r="E17" s="22" t="inlineStr">
        <is>
          <t>AGROXILATO-K, 1000 L</t>
        </is>
      </c>
      <c r="F17" s="23" t="n">
        <v>2000</v>
      </c>
      <c r="G17" s="24" t="n">
        <v>0</v>
      </c>
      <c r="H17" s="25">
        <f>G17-F17</f>
        <v/>
      </c>
      <c r="I17" s="23">
        <f>ABS(G17-F17)</f>
        <v/>
      </c>
      <c r="J17" s="26">
        <f>IF(F17&gt;0, G17/F17, IF(G17&gt;0, 1.0, 0.0))</f>
        <v/>
      </c>
      <c r="K17" s="27">
        <f>IF(F17&gt;0, 1.0 - (I17/F17), IF(G17=0, 1.0, 0.0))</f>
        <v/>
      </c>
      <c r="L17" s="28" t="inlineStr"/>
      <c r="M17" s="29" t="n">
        <v>3000</v>
      </c>
      <c r="N17" s="30" t="n">
        <v>3000</v>
      </c>
      <c r="O17" s="29" t="n">
        <v>1000</v>
      </c>
      <c r="P17" s="30" t="n">
        <v>1000</v>
      </c>
      <c r="Q17" s="29" t="n">
        <v>0</v>
      </c>
      <c r="R17" s="30" t="n">
        <v>0</v>
      </c>
      <c r="S17" s="23">
        <f>M17+O17+Q17</f>
        <v/>
      </c>
      <c r="T17" s="24">
        <f>N17+P17+R17</f>
        <v/>
      </c>
      <c r="U17" s="25">
        <f>T17-S17</f>
        <v/>
      </c>
      <c r="V17" s="31" t="inlineStr"/>
    </row>
    <row r="18" ht="20" customHeight="1">
      <c r="B18" s="20" t="inlineStr">
        <is>
          <t>ESPAÑA</t>
        </is>
      </c>
      <c r="C18" s="21" t="inlineStr">
        <is>
          <t>COMERCIAL TÉCNICA FITOCARTHAGO, S.L.</t>
        </is>
      </c>
      <c r="D18" s="20" t="inlineStr">
        <is>
          <t>AN0020</t>
        </is>
      </c>
      <c r="E18" s="22" t="inlineStr">
        <is>
          <t>ALCAPLANT NEW, 20 KG</t>
        </is>
      </c>
      <c r="F18" s="23" t="n">
        <v>2200</v>
      </c>
      <c r="G18" s="24" t="n">
        <v>2200</v>
      </c>
      <c r="H18" s="25">
        <f>G18-F18</f>
        <v/>
      </c>
      <c r="I18" s="23">
        <f>ABS(G18-F18)</f>
        <v/>
      </c>
      <c r="J18" s="26">
        <f>IF(F18&gt;0, G18/F18, IF(G18&gt;0, 1.0, 0.0))</f>
        <v/>
      </c>
      <c r="K18" s="27">
        <f>IF(F18&gt;0, 1.0 - (I18/F18), IF(G18=0, 1.0, 0.0))</f>
        <v/>
      </c>
      <c r="L18" s="28" t="inlineStr"/>
      <c r="M18" s="29" t="n">
        <v>6500</v>
      </c>
      <c r="N18" s="30" t="n">
        <v>6500</v>
      </c>
      <c r="O18" s="29" t="n">
        <v>6500</v>
      </c>
      <c r="P18" s="30" t="n">
        <v>6500</v>
      </c>
      <c r="Q18" s="29" t="n">
        <v>0</v>
      </c>
      <c r="R18" s="30" t="n">
        <v>0</v>
      </c>
      <c r="S18" s="23">
        <f>M18+O18+Q18</f>
        <v/>
      </c>
      <c r="T18" s="24">
        <f>N18+P18+R18</f>
        <v/>
      </c>
      <c r="U18" s="25">
        <f>T18-S18</f>
        <v/>
      </c>
      <c r="V18" s="31" t="inlineStr"/>
    </row>
    <row r="19" ht="20" customHeight="1">
      <c r="B19" s="20" t="inlineStr">
        <is>
          <t>ESPAÑA</t>
        </is>
      </c>
      <c r="C19" s="21" t="inlineStr">
        <is>
          <t>COMERCIAL TÉCNICA FITOCARTHAGO, S.L.</t>
        </is>
      </c>
      <c r="D19" s="20" t="inlineStr">
        <is>
          <t>ANAE0020</t>
        </is>
      </c>
      <c r="E19" s="22" t="inlineStr">
        <is>
          <t>ALCAPLANT NEW AE, 20 KG</t>
        </is>
      </c>
      <c r="F19" s="23" t="n">
        <v>0</v>
      </c>
      <c r="G19" s="24" t="n">
        <v>0</v>
      </c>
      <c r="H19" s="25">
        <f>G19-F19</f>
        <v/>
      </c>
      <c r="I19" s="23">
        <f>ABS(G19-F19)</f>
        <v/>
      </c>
      <c r="J19" s="26">
        <f>IF(F19&gt;0, G19/F19, IF(G19&gt;0, 1.0, 0.0))</f>
        <v/>
      </c>
      <c r="K19" s="27">
        <f>IF(F19&gt;0, 1.0 - (I19/F19), IF(G19=0, 1.0, 0.0))</f>
        <v/>
      </c>
      <c r="L19" s="28" t="inlineStr"/>
      <c r="M19" s="29" t="n">
        <v>2200</v>
      </c>
      <c r="N19" s="30" t="n">
        <v>2200</v>
      </c>
      <c r="O19" s="29" t="n">
        <v>2200</v>
      </c>
      <c r="P19" s="30" t="n">
        <v>2200</v>
      </c>
      <c r="Q19" s="29" t="n">
        <v>0</v>
      </c>
      <c r="R19" s="30" t="n">
        <v>0</v>
      </c>
      <c r="S19" s="23">
        <f>M19+O19+Q19</f>
        <v/>
      </c>
      <c r="T19" s="24">
        <f>N19+P19+R19</f>
        <v/>
      </c>
      <c r="U19" s="25">
        <f>T19-S19</f>
        <v/>
      </c>
      <c r="V19" s="31" t="inlineStr"/>
    </row>
    <row r="20" ht="20" customHeight="1">
      <c r="B20" s="20" t="inlineStr">
        <is>
          <t>ESPAÑA</t>
        </is>
      </c>
      <c r="C20" s="21" t="inlineStr">
        <is>
          <t>COMERCIAL TÉCNICA FITOCARTHAGO, S.L.</t>
        </is>
      </c>
      <c r="D20" s="20" t="inlineStr">
        <is>
          <t>AQUOM0020</t>
        </is>
      </c>
      <c r="E20" s="22" t="inlineStr">
        <is>
          <t>AQUOM, 20 L</t>
        </is>
      </c>
      <c r="F20" s="23" t="n">
        <v>0</v>
      </c>
      <c r="G20" s="24" t="n">
        <v>200</v>
      </c>
      <c r="H20" s="25">
        <f>G20-F20</f>
        <v/>
      </c>
      <c r="I20" s="23">
        <f>ABS(G20-F20)</f>
        <v/>
      </c>
      <c r="J20" s="26">
        <f>IF(F20&gt;0, G20/F20, IF(G20&gt;0, 1.0, 0.0))</f>
        <v/>
      </c>
      <c r="K20" s="27">
        <f>IF(F20&gt;0, 1.0 - (I20/F20), IF(G20=0, 1.0, 0.0))</f>
        <v/>
      </c>
      <c r="L20" s="28" t="inlineStr">
        <is>
          <t>Pedido extra no previsto</t>
        </is>
      </c>
      <c r="M20" s="29" t="n">
        <v>100</v>
      </c>
      <c r="N20" s="30" t="n">
        <v>100</v>
      </c>
      <c r="O20" s="29" t="n">
        <v>100</v>
      </c>
      <c r="P20" s="30" t="n">
        <v>100</v>
      </c>
      <c r="Q20" s="29" t="n">
        <v>0</v>
      </c>
      <c r="R20" s="30" t="n">
        <v>0</v>
      </c>
      <c r="S20" s="23">
        <f>M20+O20+Q20</f>
        <v/>
      </c>
      <c r="T20" s="24">
        <f>N20+P20+R20</f>
        <v/>
      </c>
      <c r="U20" s="25">
        <f>T20-S20</f>
        <v/>
      </c>
      <c r="V20" s="31" t="inlineStr"/>
    </row>
    <row r="21" ht="20" customHeight="1">
      <c r="B21" s="20" t="inlineStr">
        <is>
          <t>ESPAÑA</t>
        </is>
      </c>
      <c r="C21" s="21" t="inlineStr">
        <is>
          <t>COMERCIAL TÉCNICA FITOCARTHAGO, S.L.</t>
        </is>
      </c>
      <c r="D21" s="20" t="inlineStr">
        <is>
          <t>C-CU0020</t>
        </is>
      </c>
      <c r="E21" s="22" t="inlineStr">
        <is>
          <t>CODICOBRE, 20 L</t>
        </is>
      </c>
      <c r="F21" s="23" t="n">
        <v>0</v>
      </c>
      <c r="G21" s="24" t="n">
        <v>0</v>
      </c>
      <c r="H21" s="25">
        <f>G21-F21</f>
        <v/>
      </c>
      <c r="I21" s="23">
        <f>ABS(G21-F21)</f>
        <v/>
      </c>
      <c r="J21" s="26">
        <f>IF(F21&gt;0, G21/F21, IF(G21&gt;0, 1.0, 0.0))</f>
        <v/>
      </c>
      <c r="K21" s="27">
        <f>IF(F21&gt;0, 1.0 - (I21/F21), IF(G21=0, 1.0, 0.0))</f>
        <v/>
      </c>
      <c r="L21" s="28" t="inlineStr"/>
      <c r="M21" s="29" t="n">
        <v>200</v>
      </c>
      <c r="N21" s="30" t="n">
        <v>200</v>
      </c>
      <c r="O21" s="29" t="n">
        <v>200</v>
      </c>
      <c r="P21" s="30" t="n">
        <v>200</v>
      </c>
      <c r="Q21" s="29" t="n">
        <v>0</v>
      </c>
      <c r="R21" s="30" t="n">
        <v>0</v>
      </c>
      <c r="S21" s="23">
        <f>M21+O21+Q21</f>
        <v/>
      </c>
      <c r="T21" s="24">
        <f>N21+P21+R21</f>
        <v/>
      </c>
      <c r="U21" s="25">
        <f>T21-S21</f>
        <v/>
      </c>
      <c r="V21" s="31" t="inlineStr"/>
    </row>
    <row r="22" ht="20" customHeight="1">
      <c r="B22" s="20" t="inlineStr">
        <is>
          <t>ESPAÑA</t>
        </is>
      </c>
      <c r="C22" s="21" t="inlineStr">
        <is>
          <t>COMERCIAL TÉCNICA FITOCARTHAGO, S.L.</t>
        </is>
      </c>
      <c r="D22" s="20" t="inlineStr">
        <is>
          <t>FROST-P0020</t>
        </is>
      </c>
      <c r="E22" s="22" t="inlineStr">
        <is>
          <t>CODIFROST PLUS, 20 L</t>
        </is>
      </c>
      <c r="F22" s="23" t="n">
        <v>0</v>
      </c>
      <c r="G22" s="24" t="n">
        <v>0</v>
      </c>
      <c r="H22" s="25">
        <f>G22-F22</f>
        <v/>
      </c>
      <c r="I22" s="23">
        <f>ABS(G22-F22)</f>
        <v/>
      </c>
      <c r="J22" s="26">
        <f>IF(F22&gt;0, G22/F22, IF(G22&gt;0, 1.0, 0.0))</f>
        <v/>
      </c>
      <c r="K22" s="27">
        <f>IF(F22&gt;0, 1.0 - (I22/F22), IF(G22=0, 1.0, 0.0))</f>
        <v/>
      </c>
      <c r="L22" s="28" t="inlineStr"/>
      <c r="M22" s="29" t="n">
        <v>0</v>
      </c>
      <c r="N22" s="30" t="n">
        <v>0</v>
      </c>
      <c r="O22" s="29" t="n">
        <v>100</v>
      </c>
      <c r="P22" s="30" t="n">
        <v>100</v>
      </c>
      <c r="Q22" s="29" t="n">
        <v>0</v>
      </c>
      <c r="R22" s="30" t="n">
        <v>0</v>
      </c>
      <c r="S22" s="23">
        <f>M22+O22+Q22</f>
        <v/>
      </c>
      <c r="T22" s="24">
        <f>N22+P22+R22</f>
        <v/>
      </c>
      <c r="U22" s="25">
        <f>T22-S22</f>
        <v/>
      </c>
      <c r="V22" s="31" t="inlineStr"/>
    </row>
    <row r="23" ht="20" customHeight="1">
      <c r="B23" s="20" t="inlineStr">
        <is>
          <t>ESPAÑA</t>
        </is>
      </c>
      <c r="C23" s="21" t="inlineStr">
        <is>
          <t>COMERCIAL TÉCNICA FITOCARTHAGO, S.L.</t>
        </is>
      </c>
      <c r="D23" s="20" t="inlineStr">
        <is>
          <t>N0200</t>
        </is>
      </c>
      <c r="E23" s="22" t="inlineStr">
        <is>
          <t>NUTRICALE, 200 L</t>
        </is>
      </c>
      <c r="F23" s="23" t="n">
        <v>0</v>
      </c>
      <c r="G23" s="24" t="n">
        <v>200</v>
      </c>
      <c r="H23" s="25">
        <f>G23-F23</f>
        <v/>
      </c>
      <c r="I23" s="23">
        <f>ABS(G23-F23)</f>
        <v/>
      </c>
      <c r="J23" s="26">
        <f>IF(F23&gt;0, G23/F23, IF(G23&gt;0, 1.0, 0.0))</f>
        <v/>
      </c>
      <c r="K23" s="27">
        <f>IF(F23&gt;0, 1.0 - (I23/F23), IF(G23=0, 1.0, 0.0))</f>
        <v/>
      </c>
      <c r="L23" s="28" t="inlineStr">
        <is>
          <t>Pedido extra no previsto</t>
        </is>
      </c>
      <c r="M23" s="29" t="n">
        <v>0</v>
      </c>
      <c r="N23" s="30" t="n">
        <v>0</v>
      </c>
      <c r="O23" s="29" t="n">
        <v>0</v>
      </c>
      <c r="P23" s="30" t="n">
        <v>0</v>
      </c>
      <c r="Q23" s="29" t="n">
        <v>0</v>
      </c>
      <c r="R23" s="30" t="n">
        <v>0</v>
      </c>
      <c r="S23" s="23">
        <f>M23+O23+Q23</f>
        <v/>
      </c>
      <c r="T23" s="24">
        <f>N23+P23+R23</f>
        <v/>
      </c>
      <c r="U23" s="25">
        <f>T23-S23</f>
        <v/>
      </c>
      <c r="V23" s="31" t="inlineStr"/>
    </row>
    <row r="24" ht="20" customHeight="1">
      <c r="B24" s="20" t="inlineStr">
        <is>
          <t>ESPAÑA</t>
        </is>
      </c>
      <c r="C24" s="21" t="inlineStr">
        <is>
          <t>COMERCIAL TÉCNICA FITOCARTHAGO, S.L.</t>
        </is>
      </c>
      <c r="D24" s="20" t="inlineStr">
        <is>
          <t>PT0020</t>
        </is>
      </c>
      <c r="E24" s="22" t="inlineStr">
        <is>
          <t>AGROPOTASION, 20 L</t>
        </is>
      </c>
      <c r="F24" s="23" t="n">
        <v>0</v>
      </c>
      <c r="G24" s="24" t="n">
        <v>0</v>
      </c>
      <c r="H24" s="25">
        <f>G24-F24</f>
        <v/>
      </c>
      <c r="I24" s="23">
        <f>ABS(G24-F24)</f>
        <v/>
      </c>
      <c r="J24" s="26">
        <f>IF(F24&gt;0, G24/F24, IF(G24&gt;0, 1.0, 0.0))</f>
        <v/>
      </c>
      <c r="K24" s="27">
        <f>IF(F24&gt;0, 1.0 - (I24/F24), IF(G24=0, 1.0, 0.0))</f>
        <v/>
      </c>
      <c r="L24" s="28" t="inlineStr"/>
      <c r="M24" s="29" t="n">
        <v>640</v>
      </c>
      <c r="N24" s="30" t="n">
        <v>640</v>
      </c>
      <c r="O24" s="29" t="n">
        <v>640</v>
      </c>
      <c r="P24" s="30" t="n">
        <v>640</v>
      </c>
      <c r="Q24" s="29" t="n">
        <v>0</v>
      </c>
      <c r="R24" s="30" t="n">
        <v>0</v>
      </c>
      <c r="S24" s="23">
        <f>M24+O24+Q24</f>
        <v/>
      </c>
      <c r="T24" s="24">
        <f>N24+P24+R24</f>
        <v/>
      </c>
      <c r="U24" s="25">
        <f>T24-S24</f>
        <v/>
      </c>
      <c r="V24" s="31" t="inlineStr"/>
    </row>
    <row r="25" ht="20" customHeight="1">
      <c r="B25" s="20" t="inlineStr">
        <is>
          <t>ESPAÑA</t>
        </is>
      </c>
      <c r="C25" s="21" t="inlineStr">
        <is>
          <t>COMERCIAL TÉCNICA FITOCARTHAGO, S.L.</t>
        </is>
      </c>
      <c r="D25" s="20" t="inlineStr">
        <is>
          <t>PT0200</t>
        </is>
      </c>
      <c r="E25" s="22" t="inlineStr">
        <is>
          <t>AGROPOTASION, 200 L</t>
        </is>
      </c>
      <c r="F25" s="23" t="n">
        <v>0</v>
      </c>
      <c r="G25" s="24" t="n">
        <v>600</v>
      </c>
      <c r="H25" s="25">
        <f>G25-F25</f>
        <v/>
      </c>
      <c r="I25" s="23">
        <f>ABS(G25-F25)</f>
        <v/>
      </c>
      <c r="J25" s="26">
        <f>IF(F25&gt;0, G25/F25, IF(G25&gt;0, 1.0, 0.0))</f>
        <v/>
      </c>
      <c r="K25" s="27">
        <f>IF(F25&gt;0, 1.0 - (I25/F25), IF(G25=0, 1.0, 0.0))</f>
        <v/>
      </c>
      <c r="L25" s="28" t="inlineStr">
        <is>
          <t>Pedido extra no previsto</t>
        </is>
      </c>
      <c r="M25" s="29" t="n">
        <v>0</v>
      </c>
      <c r="N25" s="30" t="n">
        <v>0</v>
      </c>
      <c r="O25" s="29" t="n">
        <v>0</v>
      </c>
      <c r="P25" s="30" t="n">
        <v>0</v>
      </c>
      <c r="Q25" s="29" t="n">
        <v>0</v>
      </c>
      <c r="R25" s="30" t="n">
        <v>0</v>
      </c>
      <c r="S25" s="23">
        <f>M25+O25+Q25</f>
        <v/>
      </c>
      <c r="T25" s="24">
        <f>N25+P25+R25</f>
        <v/>
      </c>
      <c r="U25" s="25">
        <f>T25-S25</f>
        <v/>
      </c>
      <c r="V25" s="31" t="inlineStr"/>
    </row>
    <row r="26" ht="20" customHeight="1">
      <c r="B26" s="20" t="inlineStr">
        <is>
          <t>ESPAÑA</t>
        </is>
      </c>
      <c r="C26" s="21" t="inlineStr">
        <is>
          <t>COMERCIAL TÉCNICA FITOCARTHAGO, S.L.</t>
        </is>
      </c>
      <c r="D26" s="20" t="inlineStr">
        <is>
          <t>PT1000</t>
        </is>
      </c>
      <c r="E26" s="22" t="inlineStr">
        <is>
          <t>AGROPOTASION, 1000 L</t>
        </is>
      </c>
      <c r="F26" s="23" t="n">
        <v>0</v>
      </c>
      <c r="G26" s="24" t="n">
        <v>1000</v>
      </c>
      <c r="H26" s="25">
        <f>G26-F26</f>
        <v/>
      </c>
      <c r="I26" s="23">
        <f>ABS(G26-F26)</f>
        <v/>
      </c>
      <c r="J26" s="26">
        <f>IF(F26&gt;0, G26/F26, IF(G26&gt;0, 1.0, 0.0))</f>
        <v/>
      </c>
      <c r="K26" s="27">
        <f>IF(F26&gt;0, 1.0 - (I26/F26), IF(G26=0, 1.0, 0.0))</f>
        <v/>
      </c>
      <c r="L26" s="28" t="inlineStr">
        <is>
          <t>Pedido extra no previsto</t>
        </is>
      </c>
      <c r="M26" s="29" t="n">
        <v>0</v>
      </c>
      <c r="N26" s="30" t="n">
        <v>0</v>
      </c>
      <c r="O26" s="29" t="n">
        <v>0</v>
      </c>
      <c r="P26" s="30" t="n">
        <v>0</v>
      </c>
      <c r="Q26" s="29" t="n">
        <v>0</v>
      </c>
      <c r="R26" s="30" t="n">
        <v>0</v>
      </c>
      <c r="S26" s="23">
        <f>M26+O26+Q26</f>
        <v/>
      </c>
      <c r="T26" s="24">
        <f>N26+P26+R26</f>
        <v/>
      </c>
      <c r="U26" s="25">
        <f>T26-S26</f>
        <v/>
      </c>
      <c r="V26" s="31" t="inlineStr"/>
    </row>
    <row r="27" ht="20" customHeight="1">
      <c r="B27" s="20" t="inlineStr">
        <is>
          <t>ESPAÑA</t>
        </is>
      </c>
      <c r="C27" s="21" t="inlineStr">
        <is>
          <t>COMERCIAL TÉCNICA FITOCARTHAGO, S.L.</t>
        </is>
      </c>
      <c r="D27" s="20" t="inlineStr">
        <is>
          <t>S0020</t>
        </is>
      </c>
      <c r="E27" s="22" t="inlineStr">
        <is>
          <t>SAL-WAX STAR, 20 L</t>
        </is>
      </c>
      <c r="F27" s="23" t="n">
        <v>640</v>
      </c>
      <c r="G27" s="24" t="n">
        <v>640</v>
      </c>
      <c r="H27" s="25">
        <f>G27-F27</f>
        <v/>
      </c>
      <c r="I27" s="23">
        <f>ABS(G27-F27)</f>
        <v/>
      </c>
      <c r="J27" s="26">
        <f>IF(F27&gt;0, G27/F27, IF(G27&gt;0, 1.0, 0.0))</f>
        <v/>
      </c>
      <c r="K27" s="27">
        <f>IF(F27&gt;0, 1.0 - (I27/F27), IF(G27=0, 1.0, 0.0))</f>
        <v/>
      </c>
      <c r="L27" s="28" t="inlineStr"/>
      <c r="M27" s="29" t="n">
        <v>1280</v>
      </c>
      <c r="N27" s="30" t="n">
        <v>1280</v>
      </c>
      <c r="O27" s="29" t="n">
        <v>1280</v>
      </c>
      <c r="P27" s="30" t="n">
        <v>1280</v>
      </c>
      <c r="Q27" s="29" t="n">
        <v>0</v>
      </c>
      <c r="R27" s="30" t="n">
        <v>0</v>
      </c>
      <c r="S27" s="23">
        <f>M27+O27+Q27</f>
        <v/>
      </c>
      <c r="T27" s="24">
        <f>N27+P27+R27</f>
        <v/>
      </c>
      <c r="U27" s="25">
        <f>T27-S27</f>
        <v/>
      </c>
      <c r="V27" s="31" t="inlineStr"/>
    </row>
    <row r="28" ht="20" customHeight="1">
      <c r="B28" s="20" t="inlineStr">
        <is>
          <t>ESPAÑA</t>
        </is>
      </c>
      <c r="C28" s="21" t="inlineStr">
        <is>
          <t>COMERCIAL TÉCNICA FITOCARTHAGO, S.L.</t>
        </is>
      </c>
      <c r="D28" s="20" t="inlineStr">
        <is>
          <t>S0200</t>
        </is>
      </c>
      <c r="E28" s="22" t="inlineStr">
        <is>
          <t>SAL-WAX STAR, 200 L</t>
        </is>
      </c>
      <c r="F28" s="23" t="n">
        <v>400</v>
      </c>
      <c r="G28" s="24" t="n">
        <v>0</v>
      </c>
      <c r="H28" s="25">
        <f>G28-F28</f>
        <v/>
      </c>
      <c r="I28" s="23">
        <f>ABS(G28-F28)</f>
        <v/>
      </c>
      <c r="J28" s="26">
        <f>IF(F28&gt;0, G28/F28, IF(G28&gt;0, 1.0, 0.0))</f>
        <v/>
      </c>
      <c r="K28" s="27">
        <f>IF(F28&gt;0, 1.0 - (I28/F28), IF(G28=0, 1.0, 0.0))</f>
        <v/>
      </c>
      <c r="L28" s="28" t="inlineStr"/>
      <c r="M28" s="29" t="n">
        <v>1600</v>
      </c>
      <c r="N28" s="30" t="n">
        <v>1600</v>
      </c>
      <c r="O28" s="29" t="n">
        <v>1600</v>
      </c>
      <c r="P28" s="30" t="n">
        <v>1600</v>
      </c>
      <c r="Q28" s="29" t="n">
        <v>0</v>
      </c>
      <c r="R28" s="30" t="n">
        <v>0</v>
      </c>
      <c r="S28" s="23">
        <f>M28+O28+Q28</f>
        <v/>
      </c>
      <c r="T28" s="24">
        <f>N28+P28+R28</f>
        <v/>
      </c>
      <c r="U28" s="25">
        <f>T28-S28</f>
        <v/>
      </c>
      <c r="V28" s="31" t="inlineStr"/>
    </row>
    <row r="29" ht="20" customHeight="1">
      <c r="B29" s="20" t="inlineStr">
        <is>
          <t>ESPAÑA</t>
        </is>
      </c>
      <c r="C29" s="21" t="inlineStr">
        <is>
          <t>COMERCIAL TÉCNICA FITOCARTHAGO, S.L.</t>
        </is>
      </c>
      <c r="D29" s="20" t="inlineStr">
        <is>
          <t>S1000</t>
        </is>
      </c>
      <c r="E29" s="22" t="inlineStr">
        <is>
          <t>SAL-WAX STAR, 1000 L</t>
        </is>
      </c>
      <c r="F29" s="23" t="n">
        <v>5000</v>
      </c>
      <c r="G29" s="24" t="n">
        <v>0</v>
      </c>
      <c r="H29" s="25">
        <f>G29-F29</f>
        <v/>
      </c>
      <c r="I29" s="23">
        <f>ABS(G29-F29)</f>
        <v/>
      </c>
      <c r="J29" s="26">
        <f>IF(F29&gt;0, G29/F29, IF(G29&gt;0, 1.0, 0.0))</f>
        <v/>
      </c>
      <c r="K29" s="27">
        <f>IF(F29&gt;0, 1.0 - (I29/F29), IF(G29=0, 1.0, 0.0))</f>
        <v/>
      </c>
      <c r="L29" s="28" t="inlineStr"/>
      <c r="M29" s="29" t="n">
        <v>5000</v>
      </c>
      <c r="N29" s="30" t="n">
        <v>5000</v>
      </c>
      <c r="O29" s="29" t="n">
        <v>4000</v>
      </c>
      <c r="P29" s="30" t="n">
        <v>4000</v>
      </c>
      <c r="Q29" s="29" t="n">
        <v>0</v>
      </c>
      <c r="R29" s="30" t="n">
        <v>0</v>
      </c>
      <c r="S29" s="23">
        <f>M29+O29+Q29</f>
        <v/>
      </c>
      <c r="T29" s="24">
        <f>N29+P29+R29</f>
        <v/>
      </c>
      <c r="U29" s="25">
        <f>T29-S29</f>
        <v/>
      </c>
      <c r="V29" s="31" t="inlineStr"/>
    </row>
    <row r="30" ht="20" customHeight="1">
      <c r="B30" s="20" t="inlineStr">
        <is>
          <t>ESPAÑA</t>
        </is>
      </c>
      <c r="C30" s="21" t="inlineStr">
        <is>
          <t>COMERCIAL TÉCNICA FITOCARTHAGO, S.L.</t>
        </is>
      </c>
      <c r="D30" s="20" t="inlineStr">
        <is>
          <t>SPCE2B0020</t>
        </is>
      </c>
      <c r="E30" s="22" t="inlineStr">
        <is>
          <t>SPRINTENE CON BORO, 20 L</t>
        </is>
      </c>
      <c r="F30" s="23" t="n">
        <v>640</v>
      </c>
      <c r="G30" s="24" t="n">
        <v>0</v>
      </c>
      <c r="H30" s="25">
        <f>G30-F30</f>
        <v/>
      </c>
      <c r="I30" s="23">
        <f>ABS(G30-F30)</f>
        <v/>
      </c>
      <c r="J30" s="26">
        <f>IF(F30&gt;0, G30/F30, IF(G30&gt;0, 1.0, 0.0))</f>
        <v/>
      </c>
      <c r="K30" s="27">
        <f>IF(F30&gt;0, 1.0 - (I30/F30), IF(G30=0, 1.0, 0.0))</f>
        <v/>
      </c>
      <c r="L30" s="28" t="inlineStr"/>
      <c r="M30" s="29" t="n">
        <v>1280</v>
      </c>
      <c r="N30" s="30" t="n">
        <v>1280</v>
      </c>
      <c r="O30" s="29" t="n">
        <v>0</v>
      </c>
      <c r="P30" s="30" t="n">
        <v>0</v>
      </c>
      <c r="Q30" s="29" t="n">
        <v>0</v>
      </c>
      <c r="R30" s="30" t="n">
        <v>0</v>
      </c>
      <c r="S30" s="23">
        <f>M30+O30+Q30</f>
        <v/>
      </c>
      <c r="T30" s="24">
        <f>N30+P30+R30</f>
        <v/>
      </c>
      <c r="U30" s="25">
        <f>T30-S30</f>
        <v/>
      </c>
      <c r="V30" s="31" t="inlineStr"/>
    </row>
    <row r="31" ht="20" customHeight="1">
      <c r="B31" s="20" t="inlineStr">
        <is>
          <t>ESPAÑA</t>
        </is>
      </c>
      <c r="C31" s="21" t="inlineStr">
        <is>
          <t>COMERCIAL TÉCNICA FITOCARTHAGO, S.L.</t>
        </is>
      </c>
      <c r="D31" s="20" t="inlineStr">
        <is>
          <t>SS0020</t>
        </is>
      </c>
      <c r="E31" s="22" t="inlineStr">
        <is>
          <t>SAL-WAX-Ca sólido, 20 KG</t>
        </is>
      </c>
      <c r="F31" s="23" t="n">
        <v>0</v>
      </c>
      <c r="G31" s="24" t="n">
        <v>400</v>
      </c>
      <c r="H31" s="25">
        <f>G31-F31</f>
        <v/>
      </c>
      <c r="I31" s="23">
        <f>ABS(G31-F31)</f>
        <v/>
      </c>
      <c r="J31" s="26">
        <f>IF(F31&gt;0, G31/F31, IF(G31&gt;0, 1.0, 0.0))</f>
        <v/>
      </c>
      <c r="K31" s="27">
        <f>IF(F31&gt;0, 1.0 - (I31/F31), IF(G31=0, 1.0, 0.0))</f>
        <v/>
      </c>
      <c r="L31" s="28" t="inlineStr">
        <is>
          <t>Pedido extra no previsto</t>
        </is>
      </c>
      <c r="M31" s="29" t="n">
        <v>2800</v>
      </c>
      <c r="N31" s="30" t="n">
        <v>2800</v>
      </c>
      <c r="O31" s="29" t="n">
        <v>2400</v>
      </c>
      <c r="P31" s="30" t="n">
        <v>2400</v>
      </c>
      <c r="Q31" s="29" t="n">
        <v>0</v>
      </c>
      <c r="R31" s="30" t="n">
        <v>0</v>
      </c>
      <c r="S31" s="23">
        <f>M31+O31+Q31</f>
        <v/>
      </c>
      <c r="T31" s="24">
        <f>N31+P31+R31</f>
        <v/>
      </c>
      <c r="U31" s="25">
        <f>T31-S31</f>
        <v/>
      </c>
      <c r="V31" s="31" t="inlineStr"/>
    </row>
    <row r="32" ht="20" customHeight="1">
      <c r="B32" s="20" t="inlineStr">
        <is>
          <t>ESPAÑA</t>
        </is>
      </c>
      <c r="C32" s="21" t="inlineStr">
        <is>
          <t>FITOMURCIA S.L.</t>
        </is>
      </c>
      <c r="D32" s="20" t="inlineStr">
        <is>
          <t>A-50(2)0005</t>
        </is>
      </c>
      <c r="E32" s="22" t="inlineStr">
        <is>
          <t>CODIORGAN A-50, 5 KG</t>
        </is>
      </c>
      <c r="F32" s="23" t="n">
        <v>0</v>
      </c>
      <c r="G32" s="24" t="n">
        <v>0</v>
      </c>
      <c r="H32" s="25">
        <f>G32-F32</f>
        <v/>
      </c>
      <c r="I32" s="23">
        <f>ABS(G32-F32)</f>
        <v/>
      </c>
      <c r="J32" s="26">
        <f>IF(F32&gt;0, G32/F32, IF(G32&gt;0, 1.0, 0.0))</f>
        <v/>
      </c>
      <c r="K32" s="27">
        <f>IF(F32&gt;0, 1.0 - (I32/F32), IF(G32=0, 1.0, 0.0))</f>
        <v/>
      </c>
      <c r="L32" s="28" t="inlineStr"/>
      <c r="M32" s="29" t="n">
        <v>0</v>
      </c>
      <c r="N32" s="30" t="n">
        <v>0</v>
      </c>
      <c r="O32" s="29" t="n">
        <v>500</v>
      </c>
      <c r="P32" s="30" t="n">
        <v>500</v>
      </c>
      <c r="Q32" s="29" t="n">
        <v>0</v>
      </c>
      <c r="R32" s="30" t="n">
        <v>0</v>
      </c>
      <c r="S32" s="23">
        <f>M32+O32+Q32</f>
        <v/>
      </c>
      <c r="T32" s="24">
        <f>N32+P32+R32</f>
        <v/>
      </c>
      <c r="U32" s="25">
        <f>T32-S32</f>
        <v/>
      </c>
      <c r="V32" s="31" t="inlineStr"/>
    </row>
    <row r="33" ht="20" customHeight="1">
      <c r="B33" s="20" t="inlineStr">
        <is>
          <t>ESPAÑA</t>
        </is>
      </c>
      <c r="C33" s="21" t="inlineStr">
        <is>
          <t>FITOMURCIA S.L.</t>
        </is>
      </c>
      <c r="D33" s="20" t="inlineStr">
        <is>
          <t>AGXKC0020</t>
        </is>
      </c>
      <c r="E33" s="22" t="inlineStr">
        <is>
          <t>AGROXILATO-COMPLET, 20 L</t>
        </is>
      </c>
      <c r="F33" s="23" t="n">
        <v>0</v>
      </c>
      <c r="G33" s="24" t="n">
        <v>0</v>
      </c>
      <c r="H33" s="25">
        <f>G33-F33</f>
        <v/>
      </c>
      <c r="I33" s="23">
        <f>ABS(G33-F33)</f>
        <v/>
      </c>
      <c r="J33" s="26">
        <f>IF(F33&gt;0, G33/F33, IF(G33&gt;0, 1.0, 0.0))</f>
        <v/>
      </c>
      <c r="K33" s="27">
        <f>IF(F33&gt;0, 1.0 - (I33/F33), IF(G33=0, 1.0, 0.0))</f>
        <v/>
      </c>
      <c r="L33" s="28" t="inlineStr"/>
      <c r="M33" s="29" t="n">
        <v>0</v>
      </c>
      <c r="N33" s="30" t="n">
        <v>0</v>
      </c>
      <c r="O33" s="29" t="n">
        <v>1280</v>
      </c>
      <c r="P33" s="30" t="n">
        <v>1280</v>
      </c>
      <c r="Q33" s="29" t="n">
        <v>0</v>
      </c>
      <c r="R33" s="30" t="n">
        <v>0</v>
      </c>
      <c r="S33" s="23">
        <f>M33+O33+Q33</f>
        <v/>
      </c>
      <c r="T33" s="24">
        <f>N33+P33+R33</f>
        <v/>
      </c>
      <c r="U33" s="25">
        <f>T33-S33</f>
        <v/>
      </c>
      <c r="V33" s="31" t="inlineStr"/>
    </row>
    <row r="34" ht="20" customHeight="1">
      <c r="B34" s="20" t="inlineStr">
        <is>
          <t>ESPAÑA</t>
        </is>
      </c>
      <c r="C34" s="21" t="inlineStr">
        <is>
          <t>FITOMURCIA S.L.</t>
        </is>
      </c>
      <c r="D34" s="20" t="inlineStr">
        <is>
          <t>AGXKC1000</t>
        </is>
      </c>
      <c r="E34" s="22" t="inlineStr">
        <is>
          <t>AGROXILATO-COMPLET, 1000 L</t>
        </is>
      </c>
      <c r="F34" s="23" t="n">
        <v>0</v>
      </c>
      <c r="G34" s="24" t="n">
        <v>0</v>
      </c>
      <c r="H34" s="25">
        <f>G34-F34</f>
        <v/>
      </c>
      <c r="I34" s="23">
        <f>ABS(G34-F34)</f>
        <v/>
      </c>
      <c r="J34" s="26">
        <f>IF(F34&gt;0, G34/F34, IF(G34&gt;0, 1.0, 0.0))</f>
        <v/>
      </c>
      <c r="K34" s="27">
        <f>IF(F34&gt;0, 1.0 - (I34/F34), IF(G34=0, 1.0, 0.0))</f>
        <v/>
      </c>
      <c r="L34" s="28" t="inlineStr"/>
      <c r="M34" s="29" t="n">
        <v>0</v>
      </c>
      <c r="N34" s="30" t="n">
        <v>0</v>
      </c>
      <c r="O34" s="29" t="n">
        <v>5000</v>
      </c>
      <c r="P34" s="30" t="n">
        <v>5000</v>
      </c>
      <c r="Q34" s="29" t="n">
        <v>0</v>
      </c>
      <c r="R34" s="30" t="n">
        <v>0</v>
      </c>
      <c r="S34" s="23">
        <f>M34+O34+Q34</f>
        <v/>
      </c>
      <c r="T34" s="24">
        <f>N34+P34+R34</f>
        <v/>
      </c>
      <c r="U34" s="25">
        <f>T34-S34</f>
        <v/>
      </c>
      <c r="V34" s="31" t="inlineStr"/>
    </row>
    <row r="35" ht="20" customHeight="1">
      <c r="B35" s="20" t="inlineStr">
        <is>
          <t>ESPAÑA</t>
        </is>
      </c>
      <c r="C35" s="21" t="inlineStr">
        <is>
          <t>FITOMURCIA S.L.</t>
        </is>
      </c>
      <c r="D35" s="20" t="inlineStr">
        <is>
          <t>AGZNP0005</t>
        </is>
      </c>
      <c r="E35" s="22" t="inlineStr">
        <is>
          <t>AGROXILATO-ZN PLUS, 5 KG</t>
        </is>
      </c>
      <c r="F35" s="23" t="n">
        <v>0</v>
      </c>
      <c r="G35" s="24" t="n">
        <v>200</v>
      </c>
      <c r="H35" s="25">
        <f>G35-F35</f>
        <v/>
      </c>
      <c r="I35" s="23">
        <f>ABS(G35-F35)</f>
        <v/>
      </c>
      <c r="J35" s="26">
        <f>IF(F35&gt;0, G35/F35, IF(G35&gt;0, 1.0, 0.0))</f>
        <v/>
      </c>
      <c r="K35" s="27">
        <f>IF(F35&gt;0, 1.0 - (I35/F35), IF(G35=0, 1.0, 0.0))</f>
        <v/>
      </c>
      <c r="L35" s="28" t="inlineStr">
        <is>
          <t>Pedido extra no previsto</t>
        </is>
      </c>
      <c r="M35" s="29" t="n">
        <v>0</v>
      </c>
      <c r="N35" s="30" t="n">
        <v>0</v>
      </c>
      <c r="O35" s="29" t="n">
        <v>0</v>
      </c>
      <c r="P35" s="30" t="n">
        <v>0</v>
      </c>
      <c r="Q35" s="29" t="n">
        <v>0</v>
      </c>
      <c r="R35" s="30" t="n">
        <v>0</v>
      </c>
      <c r="S35" s="23">
        <f>M35+O35+Q35</f>
        <v/>
      </c>
      <c r="T35" s="24">
        <f>N35+P35+R35</f>
        <v/>
      </c>
      <c r="U35" s="25">
        <f>T35-S35</f>
        <v/>
      </c>
      <c r="V35" s="31" t="inlineStr"/>
    </row>
    <row r="36" ht="20" customHeight="1">
      <c r="B36" s="20" t="inlineStr">
        <is>
          <t>ESPAÑA</t>
        </is>
      </c>
      <c r="C36" s="21" t="inlineStr">
        <is>
          <t>FITOMURCIA S.L.</t>
        </is>
      </c>
      <c r="D36" s="20" t="inlineStr">
        <is>
          <t>AN0020</t>
        </is>
      </c>
      <c r="E36" s="22" t="inlineStr">
        <is>
          <t>ALCAPLANT NEW, 20 KG</t>
        </is>
      </c>
      <c r="F36" s="23" t="n">
        <v>0</v>
      </c>
      <c r="G36" s="24" t="n">
        <v>0</v>
      </c>
      <c r="H36" s="25">
        <f>G36-F36</f>
        <v/>
      </c>
      <c r="I36" s="23">
        <f>ABS(G36-F36)</f>
        <v/>
      </c>
      <c r="J36" s="26">
        <f>IF(F36&gt;0, G36/F36, IF(G36&gt;0, 1.0, 0.0))</f>
        <v/>
      </c>
      <c r="K36" s="27">
        <f>IF(F36&gt;0, 1.0 - (I36/F36), IF(G36=0, 1.0, 0.0))</f>
        <v/>
      </c>
      <c r="L36" s="28" t="inlineStr"/>
      <c r="M36" s="29" t="n">
        <v>0</v>
      </c>
      <c r="N36" s="30" t="n">
        <v>0</v>
      </c>
      <c r="O36" s="29" t="n">
        <v>3300</v>
      </c>
      <c r="P36" s="30" t="n">
        <v>3300</v>
      </c>
      <c r="Q36" s="29" t="n">
        <v>0</v>
      </c>
      <c r="R36" s="30" t="n">
        <v>0</v>
      </c>
      <c r="S36" s="23">
        <f>M36+O36+Q36</f>
        <v/>
      </c>
      <c r="T36" s="24">
        <f>N36+P36+R36</f>
        <v/>
      </c>
      <c r="U36" s="25">
        <f>T36-S36</f>
        <v/>
      </c>
      <c r="V36" s="31" t="inlineStr"/>
    </row>
    <row r="37" ht="20" customHeight="1">
      <c r="B37" s="20" t="inlineStr">
        <is>
          <t>ESPAÑA</t>
        </is>
      </c>
      <c r="C37" s="21" t="inlineStr">
        <is>
          <t>FITOMURCIA S.L.</t>
        </is>
      </c>
      <c r="D37" s="20" t="inlineStr">
        <is>
          <t>B0020</t>
        </is>
      </c>
      <c r="E37" s="22" t="inlineStr">
        <is>
          <t>BOROCAL, 20 L</t>
        </is>
      </c>
      <c r="F37" s="23" t="n">
        <v>0</v>
      </c>
      <c r="G37" s="24" t="n">
        <v>0</v>
      </c>
      <c r="H37" s="25">
        <f>G37-F37</f>
        <v/>
      </c>
      <c r="I37" s="23">
        <f>ABS(G37-F37)</f>
        <v/>
      </c>
      <c r="J37" s="26">
        <f>IF(F37&gt;0, G37/F37, IF(G37&gt;0, 1.0, 0.0))</f>
        <v/>
      </c>
      <c r="K37" s="27">
        <f>IF(F37&gt;0, 1.0 - (I37/F37), IF(G37=0, 1.0, 0.0))</f>
        <v/>
      </c>
      <c r="L37" s="28" t="inlineStr"/>
      <c r="M37" s="29" t="n">
        <v>0</v>
      </c>
      <c r="N37" s="30" t="n">
        <v>0</v>
      </c>
      <c r="O37" s="29" t="n">
        <v>1280</v>
      </c>
      <c r="P37" s="30" t="n">
        <v>1280</v>
      </c>
      <c r="Q37" s="29" t="n">
        <v>0</v>
      </c>
      <c r="R37" s="30" t="n">
        <v>0</v>
      </c>
      <c r="S37" s="23">
        <f>M37+O37+Q37</f>
        <v/>
      </c>
      <c r="T37" s="24">
        <f>N37+P37+R37</f>
        <v/>
      </c>
      <c r="U37" s="25">
        <f>T37-S37</f>
        <v/>
      </c>
      <c r="V37" s="31" t="inlineStr"/>
    </row>
    <row r="38" ht="20" customHeight="1">
      <c r="B38" s="20" t="inlineStr">
        <is>
          <t>ESPAÑA</t>
        </is>
      </c>
      <c r="C38" s="21" t="inlineStr">
        <is>
          <t>FITOMURCIA S.L.</t>
        </is>
      </c>
      <c r="D38" s="20" t="inlineStr">
        <is>
          <t>BIO0020</t>
        </is>
      </c>
      <c r="E38" s="22" t="inlineStr">
        <is>
          <t>BIORAD-20, 20 L</t>
        </is>
      </c>
      <c r="F38" s="23" t="n">
        <v>0</v>
      </c>
      <c r="G38" s="24" t="n">
        <v>0</v>
      </c>
      <c r="H38" s="25">
        <f>G38-F38</f>
        <v/>
      </c>
      <c r="I38" s="23">
        <f>ABS(G38-F38)</f>
        <v/>
      </c>
      <c r="J38" s="26">
        <f>IF(F38&gt;0, G38/F38, IF(G38&gt;0, 1.0, 0.0))</f>
        <v/>
      </c>
      <c r="K38" s="27">
        <f>IF(F38&gt;0, 1.0 - (I38/F38), IF(G38=0, 1.0, 0.0))</f>
        <v/>
      </c>
      <c r="L38" s="28" t="inlineStr"/>
      <c r="M38" s="29" t="n">
        <v>0</v>
      </c>
      <c r="N38" s="30" t="n">
        <v>0</v>
      </c>
      <c r="O38" s="29" t="n">
        <v>1280</v>
      </c>
      <c r="P38" s="30" t="n">
        <v>1280</v>
      </c>
      <c r="Q38" s="29" t="n">
        <v>0</v>
      </c>
      <c r="R38" s="30" t="n">
        <v>0</v>
      </c>
      <c r="S38" s="23">
        <f>M38+O38+Q38</f>
        <v/>
      </c>
      <c r="T38" s="24">
        <f>N38+P38+R38</f>
        <v/>
      </c>
      <c r="U38" s="25">
        <f>T38-S38</f>
        <v/>
      </c>
      <c r="V38" s="31" t="inlineStr"/>
    </row>
    <row r="39" ht="20" customHeight="1">
      <c r="B39" s="20" t="inlineStr">
        <is>
          <t>ESPAÑA</t>
        </is>
      </c>
      <c r="C39" s="21" t="inlineStr">
        <is>
          <t>FITOMURCIA S.L.</t>
        </is>
      </c>
      <c r="D39" s="20" t="inlineStr">
        <is>
          <t>BIO1000</t>
        </is>
      </c>
      <c r="E39" s="22" t="inlineStr">
        <is>
          <t>BIORAD-20, 1000 L</t>
        </is>
      </c>
      <c r="F39" s="23" t="n">
        <v>0</v>
      </c>
      <c r="G39" s="24" t="n">
        <v>0</v>
      </c>
      <c r="H39" s="25">
        <f>G39-F39</f>
        <v/>
      </c>
      <c r="I39" s="23">
        <f>ABS(G39-F39)</f>
        <v/>
      </c>
      <c r="J39" s="26">
        <f>IF(F39&gt;0, G39/F39, IF(G39&gt;0, 1.0, 0.0))</f>
        <v/>
      </c>
      <c r="K39" s="27">
        <f>IF(F39&gt;0, 1.0 - (I39/F39), IF(G39=0, 1.0, 0.0))</f>
        <v/>
      </c>
      <c r="L39" s="28" t="inlineStr"/>
      <c r="M39" s="29" t="n">
        <v>0</v>
      </c>
      <c r="N39" s="30" t="n">
        <v>0</v>
      </c>
      <c r="O39" s="29" t="n">
        <v>4000</v>
      </c>
      <c r="P39" s="30" t="n">
        <v>4000</v>
      </c>
      <c r="Q39" s="29" t="n">
        <v>0</v>
      </c>
      <c r="R39" s="30" t="n">
        <v>0</v>
      </c>
      <c r="S39" s="23">
        <f>M39+O39+Q39</f>
        <v/>
      </c>
      <c r="T39" s="24">
        <f>N39+P39+R39</f>
        <v/>
      </c>
      <c r="U39" s="25">
        <f>T39-S39</f>
        <v/>
      </c>
      <c r="V39" s="31" t="inlineStr"/>
    </row>
    <row r="40" ht="20" customHeight="1">
      <c r="B40" s="20" t="inlineStr">
        <is>
          <t>ESPAÑA</t>
        </is>
      </c>
      <c r="C40" s="21" t="inlineStr">
        <is>
          <t>FITOMURCIA S.L.</t>
        </is>
      </c>
      <c r="D40" s="20" t="inlineStr">
        <is>
          <t>C-L0020</t>
        </is>
      </c>
      <c r="E40" s="22" t="inlineStr">
        <is>
          <t>CODIBOR-L, 20 L</t>
        </is>
      </c>
      <c r="F40" s="23" t="n">
        <v>0</v>
      </c>
      <c r="G40" s="24" t="n">
        <v>320</v>
      </c>
      <c r="H40" s="25">
        <f>G40-F40</f>
        <v/>
      </c>
      <c r="I40" s="23">
        <f>ABS(G40-F40)</f>
        <v/>
      </c>
      <c r="J40" s="26">
        <f>IF(F40&gt;0, G40/F40, IF(G40&gt;0, 1.0, 0.0))</f>
        <v/>
      </c>
      <c r="K40" s="27">
        <f>IF(F40&gt;0, 1.0 - (I40/F40), IF(G40=0, 1.0, 0.0))</f>
        <v/>
      </c>
      <c r="L40" s="28" t="inlineStr">
        <is>
          <t>Pedido extra no previsto</t>
        </is>
      </c>
      <c r="M40" s="29" t="n">
        <v>0</v>
      </c>
      <c r="N40" s="30" t="n">
        <v>0</v>
      </c>
      <c r="O40" s="29" t="n">
        <v>0</v>
      </c>
      <c r="P40" s="30" t="n">
        <v>0</v>
      </c>
      <c r="Q40" s="29" t="n">
        <v>0</v>
      </c>
      <c r="R40" s="30" t="n">
        <v>0</v>
      </c>
      <c r="S40" s="23">
        <f>M40+O40+Q40</f>
        <v/>
      </c>
      <c r="T40" s="24">
        <f>N40+P40+R40</f>
        <v/>
      </c>
      <c r="U40" s="25">
        <f>T40-S40</f>
        <v/>
      </c>
      <c r="V40" s="31" t="inlineStr"/>
    </row>
    <row r="41" ht="20" customHeight="1">
      <c r="B41" s="20" t="inlineStr">
        <is>
          <t>ESPAÑA</t>
        </is>
      </c>
      <c r="C41" s="21" t="inlineStr">
        <is>
          <t>FITOMURCIA S.L.</t>
        </is>
      </c>
      <c r="D41" s="20" t="inlineStr">
        <is>
          <t>C-MB0005</t>
        </is>
      </c>
      <c r="E41" s="22" t="inlineStr">
        <is>
          <t>CODIFOL-MB, 5 L</t>
        </is>
      </c>
      <c r="F41" s="23" t="n">
        <v>0</v>
      </c>
      <c r="G41" s="24" t="n">
        <v>60</v>
      </c>
      <c r="H41" s="25">
        <f>G41-F41</f>
        <v/>
      </c>
      <c r="I41" s="23">
        <f>ABS(G41-F41)</f>
        <v/>
      </c>
      <c r="J41" s="26">
        <f>IF(F41&gt;0, G41/F41, IF(G41&gt;0, 1.0, 0.0))</f>
        <v/>
      </c>
      <c r="K41" s="27">
        <f>IF(F41&gt;0, 1.0 - (I41/F41), IF(G41=0, 1.0, 0.0))</f>
        <v/>
      </c>
      <c r="L41" s="28" t="inlineStr">
        <is>
          <t>Pedido extra no previsto</t>
        </is>
      </c>
      <c r="M41" s="29" t="n">
        <v>0</v>
      </c>
      <c r="N41" s="30" t="n">
        <v>0</v>
      </c>
      <c r="O41" s="29" t="n">
        <v>0</v>
      </c>
      <c r="P41" s="30" t="n">
        <v>0</v>
      </c>
      <c r="Q41" s="29" t="n">
        <v>0</v>
      </c>
      <c r="R41" s="30" t="n">
        <v>0</v>
      </c>
      <c r="S41" s="23">
        <f>M41+O41+Q41</f>
        <v/>
      </c>
      <c r="T41" s="24">
        <f>N41+P41+R41</f>
        <v/>
      </c>
      <c r="U41" s="25">
        <f>T41-S41</f>
        <v/>
      </c>
      <c r="V41" s="31" t="inlineStr"/>
    </row>
    <row r="42" ht="20" customHeight="1">
      <c r="B42" s="20" t="inlineStr">
        <is>
          <t>ESPAÑA</t>
        </is>
      </c>
      <c r="C42" s="21" t="inlineStr">
        <is>
          <t>FITOMURCIA S.L.</t>
        </is>
      </c>
      <c r="D42" s="20" t="inlineStr">
        <is>
          <t>C-MB0020</t>
        </is>
      </c>
      <c r="E42" s="22" t="inlineStr">
        <is>
          <t>CODIFOL-MB, 20 L</t>
        </is>
      </c>
      <c r="F42" s="23" t="n">
        <v>0</v>
      </c>
      <c r="G42" s="24" t="n">
        <v>320</v>
      </c>
      <c r="H42" s="25">
        <f>G42-F42</f>
        <v/>
      </c>
      <c r="I42" s="23">
        <f>ABS(G42-F42)</f>
        <v/>
      </c>
      <c r="J42" s="26">
        <f>IF(F42&gt;0, G42/F42, IF(G42&gt;0, 1.0, 0.0))</f>
        <v/>
      </c>
      <c r="K42" s="27">
        <f>IF(F42&gt;0, 1.0 - (I42/F42), IF(G42=0, 1.0, 0.0))</f>
        <v/>
      </c>
      <c r="L42" s="28" t="inlineStr">
        <is>
          <t>Pedido extra no previsto</t>
        </is>
      </c>
      <c r="M42" s="29" t="n">
        <v>0</v>
      </c>
      <c r="N42" s="30" t="n">
        <v>0</v>
      </c>
      <c r="O42" s="29" t="n">
        <v>0</v>
      </c>
      <c r="P42" s="30" t="n">
        <v>0</v>
      </c>
      <c r="Q42" s="29" t="n">
        <v>0</v>
      </c>
      <c r="R42" s="30" t="n">
        <v>0</v>
      </c>
      <c r="S42" s="23">
        <f>M42+O42+Q42</f>
        <v/>
      </c>
      <c r="T42" s="24">
        <f>N42+P42+R42</f>
        <v/>
      </c>
      <c r="U42" s="25">
        <f>T42-S42</f>
        <v/>
      </c>
      <c r="V42" s="31" t="inlineStr"/>
    </row>
    <row r="43" ht="20" customHeight="1">
      <c r="B43" s="20" t="inlineStr">
        <is>
          <t>ESPAÑA</t>
        </is>
      </c>
      <c r="C43" s="21" t="inlineStr">
        <is>
          <t>FITOMURCIA S.L.</t>
        </is>
      </c>
      <c r="D43" s="20" t="inlineStr">
        <is>
          <t>FROST-P0020</t>
        </is>
      </c>
      <c r="E43" s="22" t="inlineStr">
        <is>
          <t>CODIFROST PLUS, 20 L</t>
        </is>
      </c>
      <c r="F43" s="23" t="n">
        <v>0</v>
      </c>
      <c r="G43" s="24" t="n">
        <v>0</v>
      </c>
      <c r="H43" s="25">
        <f>G43-F43</f>
        <v/>
      </c>
      <c r="I43" s="23">
        <f>ABS(G43-F43)</f>
        <v/>
      </c>
      <c r="J43" s="26">
        <f>IF(F43&gt;0, G43/F43, IF(G43&gt;0, 1.0, 0.0))</f>
        <v/>
      </c>
      <c r="K43" s="27">
        <f>IF(F43&gt;0, 1.0 - (I43/F43), IF(G43=0, 1.0, 0.0))</f>
        <v/>
      </c>
      <c r="L43" s="28" t="inlineStr"/>
      <c r="M43" s="29" t="n">
        <v>0</v>
      </c>
      <c r="N43" s="30" t="n">
        <v>0</v>
      </c>
      <c r="O43" s="29" t="n">
        <v>1280</v>
      </c>
      <c r="P43" s="30" t="n">
        <v>1280</v>
      </c>
      <c r="Q43" s="29" t="n">
        <v>0</v>
      </c>
      <c r="R43" s="30" t="n">
        <v>0</v>
      </c>
      <c r="S43" s="23">
        <f>M43+O43+Q43</f>
        <v/>
      </c>
      <c r="T43" s="24">
        <f>N43+P43+R43</f>
        <v/>
      </c>
      <c r="U43" s="25">
        <f>T43-S43</f>
        <v/>
      </c>
      <c r="V43" s="31" t="inlineStr"/>
    </row>
    <row r="44" ht="20" customHeight="1">
      <c r="B44" s="20" t="inlineStr">
        <is>
          <t>ESPAÑA</t>
        </is>
      </c>
      <c r="C44" s="21" t="inlineStr">
        <is>
          <t>FITOMURCIA S.L.</t>
        </is>
      </c>
      <c r="D44" s="20" t="inlineStr">
        <is>
          <t>G30020</t>
        </is>
      </c>
      <c r="E44" s="22" t="inlineStr">
        <is>
          <t>GREEN-UP, 20 L</t>
        </is>
      </c>
      <c r="F44" s="23" t="n">
        <v>0</v>
      </c>
      <c r="G44" s="24" t="n">
        <v>0</v>
      </c>
      <c r="H44" s="25">
        <f>G44-F44</f>
        <v/>
      </c>
      <c r="I44" s="23">
        <f>ABS(G44-F44)</f>
        <v/>
      </c>
      <c r="J44" s="26">
        <f>IF(F44&gt;0, G44/F44, IF(G44&gt;0, 1.0, 0.0))</f>
        <v/>
      </c>
      <c r="K44" s="27">
        <f>IF(F44&gt;0, 1.0 - (I44/F44), IF(G44=0, 1.0, 0.0))</f>
        <v/>
      </c>
      <c r="L44" s="28" t="inlineStr"/>
      <c r="M44" s="29" t="n">
        <v>1280</v>
      </c>
      <c r="N44" s="30" t="n">
        <v>1280</v>
      </c>
      <c r="O44" s="29" t="n">
        <v>1280</v>
      </c>
      <c r="P44" s="30" t="n">
        <v>1280</v>
      </c>
      <c r="Q44" s="29" t="n">
        <v>0</v>
      </c>
      <c r="R44" s="30" t="n">
        <v>0</v>
      </c>
      <c r="S44" s="23">
        <f>M44+O44+Q44</f>
        <v/>
      </c>
      <c r="T44" s="24">
        <f>N44+P44+R44</f>
        <v/>
      </c>
      <c r="U44" s="25">
        <f>T44-S44</f>
        <v/>
      </c>
      <c r="V44" s="31" t="inlineStr"/>
    </row>
    <row r="45" ht="20" customHeight="1">
      <c r="B45" s="20" t="inlineStr">
        <is>
          <t>ESPAÑA</t>
        </is>
      </c>
      <c r="C45" s="21" t="inlineStr">
        <is>
          <t>FITOMURCIA S.L.</t>
        </is>
      </c>
      <c r="D45" s="20" t="inlineStr">
        <is>
          <t>HST0020</t>
        </is>
      </c>
      <c r="E45" s="22" t="inlineStr">
        <is>
          <t>HIDROSTRESS, 20 L</t>
        </is>
      </c>
      <c r="F45" s="23" t="n">
        <v>0</v>
      </c>
      <c r="G45" s="24" t="n">
        <v>0</v>
      </c>
      <c r="H45" s="25">
        <f>G45-F45</f>
        <v/>
      </c>
      <c r="I45" s="23">
        <f>ABS(G45-F45)</f>
        <v/>
      </c>
      <c r="J45" s="26">
        <f>IF(F45&gt;0, G45/F45, IF(G45&gt;0, 1.0, 0.0))</f>
        <v/>
      </c>
      <c r="K45" s="27">
        <f>IF(F45&gt;0, 1.0 - (I45/F45), IF(G45=0, 1.0, 0.0))</f>
        <v/>
      </c>
      <c r="L45" s="28" t="inlineStr"/>
      <c r="M45" s="29" t="n">
        <v>1280</v>
      </c>
      <c r="N45" s="30" t="n">
        <v>1280</v>
      </c>
      <c r="O45" s="29" t="n">
        <v>1280</v>
      </c>
      <c r="P45" s="30" t="n">
        <v>1280</v>
      </c>
      <c r="Q45" s="29" t="n">
        <v>0</v>
      </c>
      <c r="R45" s="30" t="n">
        <v>0</v>
      </c>
      <c r="S45" s="23">
        <f>M45+O45+Q45</f>
        <v/>
      </c>
      <c r="T45" s="24">
        <f>N45+P45+R45</f>
        <v/>
      </c>
      <c r="U45" s="25">
        <f>T45-S45</f>
        <v/>
      </c>
      <c r="V45" s="31" t="inlineStr"/>
    </row>
    <row r="46" ht="20" customHeight="1">
      <c r="B46" s="20" t="inlineStr">
        <is>
          <t>ESPAÑA</t>
        </is>
      </c>
      <c r="C46" s="21" t="inlineStr">
        <is>
          <t>FITOMURCIA S.L.</t>
        </is>
      </c>
      <c r="D46" s="20" t="inlineStr">
        <is>
          <t>N0020</t>
        </is>
      </c>
      <c r="E46" s="22" t="inlineStr">
        <is>
          <t>NUTRICALE, 20 L</t>
        </is>
      </c>
      <c r="F46" s="23" t="n">
        <v>0</v>
      </c>
      <c r="G46" s="24" t="n">
        <v>0</v>
      </c>
      <c r="H46" s="25">
        <f>G46-F46</f>
        <v/>
      </c>
      <c r="I46" s="23">
        <f>ABS(G46-F46)</f>
        <v/>
      </c>
      <c r="J46" s="26">
        <f>IF(F46&gt;0, G46/F46, IF(G46&gt;0, 1.0, 0.0))</f>
        <v/>
      </c>
      <c r="K46" s="27">
        <f>IF(F46&gt;0, 1.0 - (I46/F46), IF(G46=0, 1.0, 0.0))</f>
        <v/>
      </c>
      <c r="L46" s="28" t="inlineStr"/>
      <c r="M46" s="29" t="n">
        <v>1280</v>
      </c>
      <c r="N46" s="30" t="n">
        <v>1280</v>
      </c>
      <c r="O46" s="29" t="n">
        <v>1280</v>
      </c>
      <c r="P46" s="30" t="n">
        <v>1280</v>
      </c>
      <c r="Q46" s="29" t="n">
        <v>0</v>
      </c>
      <c r="R46" s="30" t="n">
        <v>0</v>
      </c>
      <c r="S46" s="23">
        <f>M46+O46+Q46</f>
        <v/>
      </c>
      <c r="T46" s="24">
        <f>N46+P46+R46</f>
        <v/>
      </c>
      <c r="U46" s="25">
        <f>T46-S46</f>
        <v/>
      </c>
      <c r="V46" s="31" t="inlineStr"/>
    </row>
    <row r="47" ht="20" customHeight="1">
      <c r="B47" s="20" t="inlineStr">
        <is>
          <t>ESPAÑA</t>
        </is>
      </c>
      <c r="C47" s="21" t="inlineStr">
        <is>
          <t>FITOMURCIA S.L.</t>
        </is>
      </c>
      <c r="D47" s="20" t="inlineStr">
        <is>
          <t>PT0020</t>
        </is>
      </c>
      <c r="E47" s="22" t="inlineStr">
        <is>
          <t>AGROPOTASION, 20 L</t>
        </is>
      </c>
      <c r="F47" s="23" t="n">
        <v>0</v>
      </c>
      <c r="G47" s="24" t="n">
        <v>0</v>
      </c>
      <c r="H47" s="25">
        <f>G47-F47</f>
        <v/>
      </c>
      <c r="I47" s="23">
        <f>ABS(G47-F47)</f>
        <v/>
      </c>
      <c r="J47" s="26">
        <f>IF(F47&gt;0, G47/F47, IF(G47&gt;0, 1.0, 0.0))</f>
        <v/>
      </c>
      <c r="K47" s="27">
        <f>IF(F47&gt;0, 1.0 - (I47/F47), IF(G47=0, 1.0, 0.0))</f>
        <v/>
      </c>
      <c r="L47" s="28" t="inlineStr"/>
      <c r="M47" s="29" t="n">
        <v>1280</v>
      </c>
      <c r="N47" s="30" t="n">
        <v>1280</v>
      </c>
      <c r="O47" s="29" t="n">
        <v>1280</v>
      </c>
      <c r="P47" s="30" t="n">
        <v>1280</v>
      </c>
      <c r="Q47" s="29" t="n">
        <v>0</v>
      </c>
      <c r="R47" s="30" t="n">
        <v>0</v>
      </c>
      <c r="S47" s="23">
        <f>M47+O47+Q47</f>
        <v/>
      </c>
      <c r="T47" s="24">
        <f>N47+P47+R47</f>
        <v/>
      </c>
      <c r="U47" s="25">
        <f>T47-S47</f>
        <v/>
      </c>
      <c r="V47" s="31" t="inlineStr"/>
    </row>
    <row r="48" ht="20" customHeight="1">
      <c r="B48" s="20" t="inlineStr">
        <is>
          <t>ESPAÑA</t>
        </is>
      </c>
      <c r="C48" s="21" t="inlineStr">
        <is>
          <t>FITOMURCIA S.L.</t>
        </is>
      </c>
      <c r="D48" s="20" t="inlineStr">
        <is>
          <t>S1000</t>
        </is>
      </c>
      <c r="E48" s="22" t="inlineStr">
        <is>
          <t>SAL-WAX STAR, 1000 L</t>
        </is>
      </c>
      <c r="F48" s="23" t="n">
        <v>0</v>
      </c>
      <c r="G48" s="24" t="n">
        <v>0</v>
      </c>
      <c r="H48" s="25">
        <f>G48-F48</f>
        <v/>
      </c>
      <c r="I48" s="23">
        <f>ABS(G48-F48)</f>
        <v/>
      </c>
      <c r="J48" s="26">
        <f>IF(F48&gt;0, G48/F48, IF(G48&gt;0, 1.0, 0.0))</f>
        <v/>
      </c>
      <c r="K48" s="27">
        <f>IF(F48&gt;0, 1.0 - (I48/F48), IF(G48=0, 1.0, 0.0))</f>
        <v/>
      </c>
      <c r="L48" s="28" t="inlineStr"/>
      <c r="M48" s="29" t="n">
        <v>9000</v>
      </c>
      <c r="N48" s="30" t="n">
        <v>9000</v>
      </c>
      <c r="O48" s="29" t="n">
        <v>9000</v>
      </c>
      <c r="P48" s="30" t="n">
        <v>9000</v>
      </c>
      <c r="Q48" s="29" t="n">
        <v>0</v>
      </c>
      <c r="R48" s="30" t="n">
        <v>0</v>
      </c>
      <c r="S48" s="23">
        <f>M48+O48+Q48</f>
        <v/>
      </c>
      <c r="T48" s="24">
        <f>N48+P48+R48</f>
        <v/>
      </c>
      <c r="U48" s="25">
        <f>T48-S48</f>
        <v/>
      </c>
      <c r="V48" s="31" t="inlineStr"/>
    </row>
    <row r="49" ht="20" customHeight="1">
      <c r="B49" s="20" t="inlineStr">
        <is>
          <t>ESPAÑA</t>
        </is>
      </c>
      <c r="C49" s="21" t="inlineStr">
        <is>
          <t>FITOMURCIA S.L.</t>
        </is>
      </c>
      <c r="D49" s="20" t="inlineStr">
        <is>
          <t>SPCE2B0020</t>
        </is>
      </c>
      <c r="E49" s="22" t="inlineStr">
        <is>
          <t>SPRINTENE CON BORO, 20 L</t>
        </is>
      </c>
      <c r="F49" s="23" t="n">
        <v>0</v>
      </c>
      <c r="G49" s="24" t="n">
        <v>200</v>
      </c>
      <c r="H49" s="25">
        <f>G49-F49</f>
        <v/>
      </c>
      <c r="I49" s="23">
        <f>ABS(G49-F49)</f>
        <v/>
      </c>
      <c r="J49" s="26">
        <f>IF(F49&gt;0, G49/F49, IF(G49&gt;0, 1.0, 0.0))</f>
        <v/>
      </c>
      <c r="K49" s="27">
        <f>IF(F49&gt;0, 1.0 - (I49/F49), IF(G49=0, 1.0, 0.0))</f>
        <v/>
      </c>
      <c r="L49" s="28" t="inlineStr">
        <is>
          <t>Pedido extra no previsto</t>
        </is>
      </c>
      <c r="M49" s="29" t="n">
        <v>0</v>
      </c>
      <c r="N49" s="30" t="n">
        <v>0</v>
      </c>
      <c r="O49" s="29" t="n">
        <v>0</v>
      </c>
      <c r="P49" s="30" t="n">
        <v>0</v>
      </c>
      <c r="Q49" s="29" t="n">
        <v>0</v>
      </c>
      <c r="R49" s="30" t="n">
        <v>0</v>
      </c>
      <c r="S49" s="23">
        <f>M49+O49+Q49</f>
        <v/>
      </c>
      <c r="T49" s="24">
        <f>N49+P49+R49</f>
        <v/>
      </c>
      <c r="U49" s="25">
        <f>T49-S49</f>
        <v/>
      </c>
      <c r="V49" s="31" t="inlineStr"/>
    </row>
    <row r="50" ht="20" customHeight="1">
      <c r="B50" s="20" t="inlineStr">
        <is>
          <t>ESPAÑA</t>
        </is>
      </c>
      <c r="C50" s="21" t="inlineStr">
        <is>
          <t>FITOMURCIA S.L.</t>
        </is>
      </c>
      <c r="D50" s="20" t="inlineStr">
        <is>
          <t>SS0005</t>
        </is>
      </c>
      <c r="E50" s="22" t="inlineStr">
        <is>
          <t>SAL-WAX-Ca sólido, 5 KG</t>
        </is>
      </c>
      <c r="F50" s="23" t="n">
        <v>0</v>
      </c>
      <c r="G50" s="24" t="n">
        <v>300</v>
      </c>
      <c r="H50" s="25">
        <f>G50-F50</f>
        <v/>
      </c>
      <c r="I50" s="23">
        <f>ABS(G50-F50)</f>
        <v/>
      </c>
      <c r="J50" s="26">
        <f>IF(F50&gt;0, G50/F50, IF(G50&gt;0, 1.0, 0.0))</f>
        <v/>
      </c>
      <c r="K50" s="27">
        <f>IF(F50&gt;0, 1.0 - (I50/F50), IF(G50=0, 1.0, 0.0))</f>
        <v/>
      </c>
      <c r="L50" s="28" t="inlineStr">
        <is>
          <t>Pedido extra no previsto</t>
        </is>
      </c>
      <c r="M50" s="29" t="n">
        <v>0</v>
      </c>
      <c r="N50" s="30" t="n">
        <v>0</v>
      </c>
      <c r="O50" s="29" t="n">
        <v>0</v>
      </c>
      <c r="P50" s="30" t="n">
        <v>0</v>
      </c>
      <c r="Q50" s="29" t="n">
        <v>0</v>
      </c>
      <c r="R50" s="30" t="n">
        <v>0</v>
      </c>
      <c r="S50" s="23">
        <f>M50+O50+Q50</f>
        <v/>
      </c>
      <c r="T50" s="24">
        <f>N50+P50+R50</f>
        <v/>
      </c>
      <c r="U50" s="25">
        <f>T50-S50</f>
        <v/>
      </c>
      <c r="V50" s="31" t="inlineStr"/>
    </row>
    <row r="51" ht="20" customHeight="1">
      <c r="B51" s="20" t="inlineStr">
        <is>
          <t>ESPAÑA</t>
        </is>
      </c>
      <c r="C51" s="21" t="inlineStr">
        <is>
          <t>FITOMURCIA S.L.</t>
        </is>
      </c>
      <c r="D51" s="20" t="inlineStr">
        <is>
          <t>SS0020</t>
        </is>
      </c>
      <c r="E51" s="22" t="inlineStr">
        <is>
          <t>SAL-WAX-Ca sólido, 20 KG</t>
        </is>
      </c>
      <c r="F51" s="23" t="n">
        <v>0</v>
      </c>
      <c r="G51" s="24" t="n">
        <v>0</v>
      </c>
      <c r="H51" s="25">
        <f>G51-F51</f>
        <v/>
      </c>
      <c r="I51" s="23">
        <f>ABS(G51-F51)</f>
        <v/>
      </c>
      <c r="J51" s="26">
        <f>IF(F51&gt;0, G51/F51, IF(G51&gt;0, 1.0, 0.0))</f>
        <v/>
      </c>
      <c r="K51" s="27">
        <f>IF(F51&gt;0, 1.0 - (I51/F51), IF(G51=0, 1.0, 0.0))</f>
        <v/>
      </c>
      <c r="L51" s="28" t="inlineStr"/>
      <c r="M51" s="29" t="n">
        <v>800</v>
      </c>
      <c r="N51" s="30" t="n">
        <v>800</v>
      </c>
      <c r="O51" s="29" t="n">
        <v>800</v>
      </c>
      <c r="P51" s="30" t="n">
        <v>800</v>
      </c>
      <c r="Q51" s="29" t="n">
        <v>0</v>
      </c>
      <c r="R51" s="30" t="n">
        <v>0</v>
      </c>
      <c r="S51" s="23">
        <f>M51+O51+Q51</f>
        <v/>
      </c>
      <c r="T51" s="24">
        <f>N51+P51+R51</f>
        <v/>
      </c>
      <c r="U51" s="25">
        <f>T51-S51</f>
        <v/>
      </c>
      <c r="V51" s="31" t="inlineStr"/>
    </row>
    <row r="52" ht="25" customHeight="1">
      <c r="B52" s="32" t="inlineStr">
        <is>
          <t>TOTAL CONSOLIDADO - PEDRO (UNIDADES)</t>
        </is>
      </c>
      <c r="C52" s="33" t="n"/>
      <c r="D52" s="33" t="n"/>
      <c r="E52" s="33" t="n"/>
      <c r="F52" s="34">
        <f>SUM(F10:F51)</f>
        <v/>
      </c>
      <c r="G52" s="34">
        <f>SUM(G10:G51)</f>
        <v/>
      </c>
      <c r="H52" s="35">
        <f>SUM(H10:H51)</f>
        <v/>
      </c>
      <c r="I52" s="34">
        <f>SUM(I10:I51)</f>
        <v/>
      </c>
      <c r="J52" s="36">
        <f>IF(F52&gt;0, G52/F52, 1.0)</f>
        <v/>
      </c>
      <c r="K52" s="36">
        <f>IF(F52&gt;0, 1.0 - (I52/F52), 1.0)</f>
        <v/>
      </c>
      <c r="L52" s="37" t="n"/>
      <c r="M52" s="34">
        <f>SUM(M10:M51)</f>
        <v/>
      </c>
      <c r="N52" s="34">
        <f>SUM(N10:N51)</f>
        <v/>
      </c>
      <c r="O52" s="34">
        <f>SUM(O10:O51)</f>
        <v/>
      </c>
      <c r="P52" s="34">
        <f>SUM(P10:P51)</f>
        <v/>
      </c>
      <c r="Q52" s="34">
        <f>SUM(Q10:Q51)</f>
        <v/>
      </c>
      <c r="R52" s="34">
        <f>SUM(R10:R51)</f>
        <v/>
      </c>
      <c r="S52" s="34">
        <f>SUM(S10:S51)</f>
        <v/>
      </c>
      <c r="T52" s="34">
        <f>SUM(T10:T51)</f>
        <v/>
      </c>
      <c r="U52" s="35">
        <f>SUM(U10:U51)</f>
        <v/>
      </c>
      <c r="V52" s="37" t="n"/>
    </row>
  </sheetData>
  <mergeCells count="22">
    <mergeCell ref="J6:L6"/>
    <mergeCell ref="B2:V2"/>
    <mergeCell ref="S5:V5"/>
    <mergeCell ref="M6:O6"/>
    <mergeCell ref="E6:G6"/>
    <mergeCell ref="H6:I6"/>
    <mergeCell ref="M8:R8"/>
    <mergeCell ref="B6:D6"/>
    <mergeCell ref="B5:D5"/>
    <mergeCell ref="P5:R5"/>
    <mergeCell ref="S8:V8"/>
    <mergeCell ref="B52:E52"/>
    <mergeCell ref="B4:V4"/>
    <mergeCell ref="J5:L5"/>
    <mergeCell ref="B8:E8"/>
    <mergeCell ref="F8:L8"/>
    <mergeCell ref="E5:G5"/>
    <mergeCell ref="B3:V3"/>
    <mergeCell ref="M5:O5"/>
    <mergeCell ref="H5:I5"/>
    <mergeCell ref="S6:V6"/>
    <mergeCell ref="P6:R6"/>
  </mergeCells>
  <dataValidations count="1">
    <dataValidation sqref="L10:L43 L10:L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2026-10-01T08:45:30Z</dcterms:created>
  <dcterms:modified xmlns:dcterms="http://purl.org/dc/terms/" xmlns:xsi="http://www.w3.org/2001/XMLSchema-instance" xsi:type="dcterms:W3CDTF">2026-10-01T08:45:30Z</dcterms:modified>
</cp:coreProperties>
</file>