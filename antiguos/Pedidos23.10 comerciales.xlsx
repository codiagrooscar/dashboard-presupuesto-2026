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"/>
    </mc:Choice>
  </mc:AlternateContent>
  <xr:revisionPtr revIDLastSave="96" documentId="8_{4C004BF6-44F9-42ED-B901-C5A5F007E52A}" xr6:coauthVersionLast="47" xr6:coauthVersionMax="47" xr10:uidLastSave="{04AE665F-A942-4C55-87F5-38F29983DC16}"/>
  <bookViews>
    <workbookView xWindow="-25710" yWindow="-110" windowWidth="25820" windowHeight="13900" xr2:uid="{98158736-BF56-4FFC-90E7-0D5AFB7C782B}"/>
  </bookViews>
  <sheets>
    <sheet name="LineasPedidoCliente" sheetId="1" r:id="rId1"/>
  </sheets>
  <definedNames>
    <definedName name="DatosExternos_1" localSheetId="0" hidden="1">LineasPedidoCliente!$A$1:$P$156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49" i="1" l="1"/>
  <c r="N150" i="1"/>
  <c r="N151" i="1"/>
  <c r="N152" i="1"/>
  <c r="N153" i="1"/>
  <c r="N154" i="1"/>
  <c r="N155" i="1"/>
  <c r="N156" i="1"/>
  <c r="N148" i="1"/>
  <c r="N143" i="1"/>
  <c r="N144" i="1"/>
  <c r="N145" i="1"/>
  <c r="N146" i="1"/>
  <c r="N147" i="1"/>
  <c r="N142" i="1"/>
  <c r="N141" i="1"/>
  <c r="N140" i="1"/>
  <c r="O139" i="1"/>
  <c r="N139" i="1"/>
  <c r="N134" i="1"/>
  <c r="N135" i="1"/>
  <c r="N136" i="1"/>
  <c r="N137" i="1"/>
  <c r="N138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10" i="1"/>
  <c r="N111" i="1"/>
  <c r="N112" i="1"/>
  <c r="N109" i="1"/>
  <c r="N105" i="1"/>
  <c r="N106" i="1"/>
  <c r="N107" i="1"/>
  <c r="N108" i="1"/>
  <c r="N104" i="1"/>
  <c r="N103" i="1"/>
  <c r="O103" i="1" s="1"/>
  <c r="N101" i="1"/>
  <c r="N102" i="1"/>
  <c r="N100" i="1"/>
  <c r="O100" i="1" s="1"/>
  <c r="N97" i="1"/>
  <c r="N98" i="1"/>
  <c r="N99" i="1"/>
  <c r="N96" i="1"/>
  <c r="N95" i="1"/>
  <c r="N94" i="1"/>
  <c r="N9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3C5701-4270-4E01-927D-3C75BC21F8BA}" keepAlive="1" name="Consulta - LineasPedidoCliente" description="Conexión a la consulta 'LineasPedidoCliente' en el libro." type="5" refreshedVersion="8" background="1" saveData="1">
    <dbPr connection="Provider=Microsoft.Mashup.OleDb.1;Data Source=$Workbook$;Location=LineasPedidoCliente;Extended Properties=&quot;&quot;" command="SELECT * FROM [LineasPedidoCliente]"/>
  </connection>
</connections>
</file>

<file path=xl/sharedStrings.xml><?xml version="1.0" encoding="utf-8"?>
<sst xmlns="http://schemas.openxmlformats.org/spreadsheetml/2006/main" count="712" uniqueCount="251">
  <si>
    <t>FechaPedido</t>
  </si>
  <si>
    <t>Ejercicio</t>
  </si>
  <si>
    <t>Serie</t>
  </si>
  <si>
    <t>Pedido</t>
  </si>
  <si>
    <t>CodigoCliente</t>
  </si>
  <si>
    <t>Cliente</t>
  </si>
  <si>
    <t>CodigoArticulo</t>
  </si>
  <si>
    <t>Articulo</t>
  </si>
  <si>
    <t>Pedidas</t>
  </si>
  <si>
    <t>Servidas</t>
  </si>
  <si>
    <t>Pendientes</t>
  </si>
  <si>
    <t>Precio</t>
  </si>
  <si>
    <t>Descuento</t>
  </si>
  <si>
    <t>ImporteNeto</t>
  </si>
  <si>
    <t>ImporteNetoPendiente</t>
  </si>
  <si>
    <t>Estado</t>
  </si>
  <si>
    <t/>
  </si>
  <si>
    <t>430000019</t>
  </si>
  <si>
    <t>CAMPOEJIDO S.C.A.</t>
  </si>
  <si>
    <t>PIV0020</t>
  </si>
  <si>
    <t>PGR IV, 20 L</t>
  </si>
  <si>
    <t>430000004</t>
  </si>
  <si>
    <t>COOP.AGRIC. SAN ISIDRO S.C.A.</t>
  </si>
  <si>
    <t>C-MB0005</t>
  </si>
  <si>
    <t>CODIFOL-MB, 5 L</t>
  </si>
  <si>
    <t>AVAN0005</t>
  </si>
  <si>
    <t>FLORAMEC AVANCE, 5 L</t>
  </si>
  <si>
    <t>C-L0005</t>
  </si>
  <si>
    <t>CODIBOR-L, 5 L</t>
  </si>
  <si>
    <t>430000427</t>
  </si>
  <si>
    <t>SUSTAINABLE AGRO SOLUTIONS SAU</t>
  </si>
  <si>
    <t>SASE0011</t>
  </si>
  <si>
    <t>CANTONERAS DE CARTON SAS 2MTR</t>
  </si>
  <si>
    <t>SASM0217</t>
  </si>
  <si>
    <t>SASM0217 AMINOACIDO 80/80 VEGETAL H. ACIDA</t>
  </si>
  <si>
    <t>SASE0052</t>
  </si>
  <si>
    <t>PALET 115 X 0,75</t>
  </si>
  <si>
    <t>SASM0072</t>
  </si>
  <si>
    <t>SASM0072 NITRATO CALCIO</t>
  </si>
  <si>
    <t>430000001</t>
  </si>
  <si>
    <t>COMERCIAL TÉCNICA FITOCARTHAGO, S.L.</t>
  </si>
  <si>
    <t>S0200</t>
  </si>
  <si>
    <t>SALWAX STAR, 200 L</t>
  </si>
  <si>
    <t>SPCE2B0020</t>
  </si>
  <si>
    <t>SPRINTENE CON BORO, 20 L</t>
  </si>
  <si>
    <t>AQUOM0005</t>
  </si>
  <si>
    <t>AQUOM, 5 L</t>
  </si>
  <si>
    <t>S0020</t>
  </si>
  <si>
    <t>SALWAX STAR, 20 L</t>
  </si>
  <si>
    <t>SS0020</t>
  </si>
  <si>
    <t>SALWAX-CA, 20 KG</t>
  </si>
  <si>
    <t>430000058</t>
  </si>
  <si>
    <t>AGROTÉCNICA DEL NORTE, S.L</t>
  </si>
  <si>
    <t>PT0005</t>
  </si>
  <si>
    <t>AGROPOTASION, 5 L</t>
  </si>
  <si>
    <t>430000005</t>
  </si>
  <si>
    <t>ASESORAMIENTO TECNICO DE CULTIVOS, S.L.</t>
  </si>
  <si>
    <t>AGXK0020</t>
  </si>
  <si>
    <t>AGROXILATO-K, 20 L</t>
  </si>
  <si>
    <t>CBASI0005</t>
  </si>
  <si>
    <t>BIOCULTURE BASI, 5 KG</t>
  </si>
  <si>
    <t>AN0005</t>
  </si>
  <si>
    <t>ALCAPLANT NEW, 5 KG</t>
  </si>
  <si>
    <t>C-GLB0005</t>
  </si>
  <si>
    <t>CODIORGAN GLB, 5 KG</t>
  </si>
  <si>
    <t>TRI0005</t>
  </si>
  <si>
    <t>TRIFENO-94, 5L</t>
  </si>
  <si>
    <t>CPLUS0020</t>
  </si>
  <si>
    <t>CALCIPLUS, 20 L</t>
  </si>
  <si>
    <t>430000033</t>
  </si>
  <si>
    <t>CODIMED EXPORT, S.L.</t>
  </si>
  <si>
    <t>C-CU0020</t>
  </si>
  <si>
    <t>CODICOBRE, 20 L</t>
  </si>
  <si>
    <t>PT0020</t>
  </si>
  <si>
    <t>AGROPOTASION, 20 L</t>
  </si>
  <si>
    <t xml:space="preserve">C-CU0020     </t>
  </si>
  <si>
    <t>EX</t>
  </si>
  <si>
    <t>430000008</t>
  </si>
  <si>
    <t>DOTRA CHEMICALS</t>
  </si>
  <si>
    <t xml:space="preserve">AGXK0005     </t>
  </si>
  <si>
    <t>AGROXILATO+K, 5 L</t>
  </si>
  <si>
    <t>SSEG0005</t>
  </si>
  <si>
    <t>SAL-WAX Ca, 5 KG</t>
  </si>
  <si>
    <t>430000429</t>
  </si>
  <si>
    <t>FITOSANITARIOS CARCAIXENT, S.L.</t>
  </si>
  <si>
    <t>JF1000</t>
  </si>
  <si>
    <t>CODIGIN-FOS, 1000 L</t>
  </si>
  <si>
    <t>AGZ-M0005</t>
  </si>
  <si>
    <t>AGROXILATO-ZN-MN, 5 KG</t>
  </si>
  <si>
    <t>AGZ-M0001</t>
  </si>
  <si>
    <t>AGROXILATO-ZN-MN, 1 KG</t>
  </si>
  <si>
    <t>430000421</t>
  </si>
  <si>
    <t>ACTIV. PRODUC. Y COMERC. LA VEGUILLA, SL</t>
  </si>
  <si>
    <t>BROTA0020</t>
  </si>
  <si>
    <t>BROTAMEC, 20 L</t>
  </si>
  <si>
    <t>BIO0020</t>
  </si>
  <si>
    <t>BIORAD-20, 20 L</t>
  </si>
  <si>
    <t>430000143</t>
  </si>
  <si>
    <t>INIESTA DEL PINO DISTRIBUCIONES S.L.U</t>
  </si>
  <si>
    <t>CBROT0005</t>
  </si>
  <si>
    <t>CODIBROT, 5 L</t>
  </si>
  <si>
    <t>430000384</t>
  </si>
  <si>
    <t>AGRONEW FITO, S.L.</t>
  </si>
  <si>
    <t>ANAE0020</t>
  </si>
  <si>
    <t>ALCAPLANT NEW AE, 20 KG</t>
  </si>
  <si>
    <t>AN0020</t>
  </si>
  <si>
    <t>ALCAPLANT NEW, 20 KG</t>
  </si>
  <si>
    <t>AVAN0020</t>
  </si>
  <si>
    <t>FLORAMEC AVANCE, 20 L</t>
  </si>
  <si>
    <t>B0005</t>
  </si>
  <si>
    <t>BOROCAL, 5 L</t>
  </si>
  <si>
    <t>430000003</t>
  </si>
  <si>
    <t>AGROQUIMICAS DRAGO S.L.</t>
  </si>
  <si>
    <t>PHD0005</t>
  </si>
  <si>
    <t xml:space="preserve">PH-DOWNER, 5 L   </t>
  </si>
  <si>
    <t>AGXK0005</t>
  </si>
  <si>
    <t>AGROXILATO-K, 5 L</t>
  </si>
  <si>
    <t>AGXK0200</t>
  </si>
  <si>
    <t>AGROXILATO-K, 200 L</t>
  </si>
  <si>
    <t>CALCIO0020</t>
  </si>
  <si>
    <t>CALCIAMEC, 20 KG</t>
  </si>
  <si>
    <t>430000332</t>
  </si>
  <si>
    <t>SERVIAGRI´ 97, S.L.</t>
  </si>
  <si>
    <t>BIO1000</t>
  </si>
  <si>
    <t>BIORAD-20, 1000 L</t>
  </si>
  <si>
    <t>430000295</t>
  </si>
  <si>
    <t>GUIVARTO AGRICOLA, S.L.</t>
  </si>
  <si>
    <t>BROTA0005</t>
  </si>
  <si>
    <t>BROTAMEC, 5 L</t>
  </si>
  <si>
    <t>A-50(2)0005</t>
  </si>
  <si>
    <t>CODIORGAN-A50, 5 KG</t>
  </si>
  <si>
    <t>430000205</t>
  </si>
  <si>
    <t>AGROCAMP CANET S.L.</t>
  </si>
  <si>
    <t>430000006</t>
  </si>
  <si>
    <t>FITOMURCIA S.L.</t>
  </si>
  <si>
    <t>430000105</t>
  </si>
  <si>
    <t>TRATAMIENTOS AGRICOLAS BRENES, S.L.</t>
  </si>
  <si>
    <t>430000326</t>
  </si>
  <si>
    <t>FINCA DOÑA ANA C.B.</t>
  </si>
  <si>
    <t>PT1000</t>
  </si>
  <si>
    <t>AGROPOTASION, 1000 L</t>
  </si>
  <si>
    <t>430000382</t>
  </si>
  <si>
    <t>STE BBMAGRI, SARL</t>
  </si>
  <si>
    <t xml:space="preserve">A-500020     </t>
  </si>
  <si>
    <t>CODIORGAN-A50, 20 KG</t>
  </si>
  <si>
    <t xml:space="preserve">PT0020       </t>
  </si>
  <si>
    <t xml:space="preserve">C-CU0005     </t>
  </si>
  <si>
    <t>CODICOBRE, 5 L</t>
  </si>
  <si>
    <t xml:space="preserve">PHD0020      </t>
  </si>
  <si>
    <t xml:space="preserve">PH-DOWNER, 20 L   </t>
  </si>
  <si>
    <t xml:space="preserve">SS0020       </t>
  </si>
  <si>
    <t>BR-590005</t>
  </si>
  <si>
    <t>BR-59, 5 KG</t>
  </si>
  <si>
    <t xml:space="preserve">AGXK0020     </t>
  </si>
  <si>
    <t>SSEG0005EG</t>
  </si>
  <si>
    <t>SALWAX CALCIO EGIPTO, 5 KG</t>
  </si>
  <si>
    <t>SPCE2B0001</t>
  </si>
  <si>
    <t>NEW SPRINTENE, 1 L</t>
  </si>
  <si>
    <t>430000386</t>
  </si>
  <si>
    <t>VILLALTA SATIVUM, S.L.</t>
  </si>
  <si>
    <t>PT0001</t>
  </si>
  <si>
    <t>AGROPOTASION, 1 L</t>
  </si>
  <si>
    <t>C-CUAE0020</t>
  </si>
  <si>
    <t>CUPRAMEC, 20 L</t>
  </si>
  <si>
    <t>AGXKAEP0020</t>
  </si>
  <si>
    <t>BIOCULTURE POTASIO PLUS, 20 L</t>
  </si>
  <si>
    <t>AQUOM0020</t>
  </si>
  <si>
    <t>AQUOM, 20 L</t>
  </si>
  <si>
    <t>BEY0005</t>
  </si>
  <si>
    <t>FLORAMEC PLUS, 5 L</t>
  </si>
  <si>
    <t>BEY0020</t>
  </si>
  <si>
    <t>FLORAMEC PLUS 20 L</t>
  </si>
  <si>
    <t>430000190</t>
  </si>
  <si>
    <t>SUCA, S.C.A.</t>
  </si>
  <si>
    <t>430000380</t>
  </si>
  <si>
    <t>LEKKERBIO B.V.</t>
  </si>
  <si>
    <t>AO0020</t>
  </si>
  <si>
    <t>DECA0020</t>
  </si>
  <si>
    <t>DEFENS-CA-AE, 20 KG</t>
  </si>
  <si>
    <t>CABRERA MORALES FRANCISCO</t>
  </si>
  <si>
    <t>430000015</t>
  </si>
  <si>
    <t>SS0005</t>
  </si>
  <si>
    <t>BIO0005</t>
  </si>
  <si>
    <t>ANAE0005</t>
  </si>
  <si>
    <t>SALWAX-CA, 5 KG</t>
  </si>
  <si>
    <t>BIORAD-20, 5L</t>
  </si>
  <si>
    <t>ALCAPLANT NEW AE, 5 KG</t>
  </si>
  <si>
    <t>FTK0005</t>
  </si>
  <si>
    <t>FITOKONTROL CA FLOW, 5 KG</t>
  </si>
  <si>
    <t>430000054</t>
  </si>
  <si>
    <t>JUAN JIMENEZ, SRL</t>
  </si>
  <si>
    <t xml:space="preserve">AGXK0001     </t>
  </si>
  <si>
    <t>BEY0001</t>
  </si>
  <si>
    <t>BIO0001</t>
  </si>
  <si>
    <t xml:space="preserve">B0001        </t>
  </si>
  <si>
    <t xml:space="preserve">C-L0001      </t>
  </si>
  <si>
    <t xml:space="preserve">C-CU0001     </t>
  </si>
  <si>
    <t>A-50(2)0001</t>
  </si>
  <si>
    <t xml:space="preserve">F-A0005      </t>
  </si>
  <si>
    <t xml:space="preserve">F-A0001      </t>
  </si>
  <si>
    <t xml:space="preserve">LP0005       </t>
  </si>
  <si>
    <t xml:space="preserve">LP0001       </t>
  </si>
  <si>
    <t xml:space="preserve">PT0005       </t>
  </si>
  <si>
    <t xml:space="preserve">PT0001       </t>
  </si>
  <si>
    <t>START20001</t>
  </si>
  <si>
    <t>SS0001</t>
  </si>
  <si>
    <t>FLOR0001</t>
  </si>
  <si>
    <t>AGROXILATO-K, 1 L</t>
  </si>
  <si>
    <t>BERRY-FLOR, 1 L</t>
  </si>
  <si>
    <t>BIORAD-20, 1L</t>
  </si>
  <si>
    <t>BOROCAL,1 L</t>
  </si>
  <si>
    <t>CODIBOR-L, 1 L</t>
  </si>
  <si>
    <t>CODICOBRE, 1 L</t>
  </si>
  <si>
    <t>CODIORGAN-A50, 1 KG</t>
  </si>
  <si>
    <t>FITOLIN-AGRO, 5 L</t>
  </si>
  <si>
    <t>FITOLIN-AGRO, 1 L</t>
  </si>
  <si>
    <t>LAVAPLANT, 5 L</t>
  </si>
  <si>
    <t>LAVAPLANT, 1 L</t>
  </si>
  <si>
    <t>RADISOL STARTER, 1 L</t>
  </si>
  <si>
    <t>SALWAX-CA, 1 KG</t>
  </si>
  <si>
    <t>SPRINTENE CON BORO, 1 L</t>
  </si>
  <si>
    <t>FLORAMEC, 1 LTR.</t>
  </si>
  <si>
    <t>AGNF0001</t>
  </si>
  <si>
    <t>START0001</t>
  </si>
  <si>
    <t>BC0020</t>
  </si>
  <si>
    <t>CODIGREEN, 1L</t>
  </si>
  <si>
    <t>BITTER-CAL, 20 KG</t>
  </si>
  <si>
    <t>JF0005</t>
  </si>
  <si>
    <t>CODIGIN-FOS, 5 L</t>
  </si>
  <si>
    <t>430000037</t>
  </si>
  <si>
    <t xml:space="preserve">EUROFERTIL, S.A.    </t>
  </si>
  <si>
    <t>AGXCR1000</t>
  </si>
  <si>
    <t xml:space="preserve">PT1000       </t>
  </si>
  <si>
    <t>DECA0005</t>
  </si>
  <si>
    <t>FLORCR1000</t>
  </si>
  <si>
    <t>NB1000</t>
  </si>
  <si>
    <t>AGROXILATO-K, 1000 L</t>
  </si>
  <si>
    <t>POTASION PLUS, 1000 L</t>
  </si>
  <si>
    <t>DEFENS-CA-AE, 5 KG</t>
  </si>
  <si>
    <t>FLORAMEC, 1000 L</t>
  </si>
  <si>
    <t>NITROBALANCE, 1000 L</t>
  </si>
  <si>
    <t>ALCAPLANT, 20 KG</t>
  </si>
  <si>
    <t xml:space="preserve">C-CU1000     </t>
  </si>
  <si>
    <t>CODIR1000</t>
  </si>
  <si>
    <t xml:space="preserve">B1000        </t>
  </si>
  <si>
    <t xml:space="preserve">G1000        </t>
  </si>
  <si>
    <t>CODICOBRE, 1000 L</t>
  </si>
  <si>
    <t>CODIRESIST, 1000 L</t>
  </si>
  <si>
    <t>FORTALEZA, 1000 L</t>
  </si>
  <si>
    <t>SAL WAX MAX, 20 KG</t>
  </si>
  <si>
    <t>TRANSLOCADOR, 1000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</si>
</sst>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41BEB63-F55C-4AB6-A386-A276D3F7899E}" autoFormatId="16" applyNumberFormats="0" applyBorderFormats="0" applyFontFormats="0" applyPatternFormats="0" applyAlignmentFormats="0" applyWidthHeightFormats="0">
  <queryTableRefresh nextId="17">
    <queryTableFields count="16">
      <queryTableField id="1" name="FechaPedido" tableColumnId="1"/>
      <queryTableField id="2" name="Ejercicio" tableColumnId="2"/>
      <queryTableField id="3" name="Serie" tableColumnId="3"/>
      <queryTableField id="4" name="Pedido" tableColumnId="4"/>
      <queryTableField id="5" name="CodigoCliente" tableColumnId="5"/>
      <queryTableField id="6" name="Cliente" tableColumnId="6"/>
      <queryTableField id="7" name="CodigoArticulo" tableColumnId="7"/>
      <queryTableField id="8" name="Articulo" tableColumnId="8"/>
      <queryTableField id="9" name="Pedidas" tableColumnId="9"/>
      <queryTableField id="10" name="Servidas" tableColumnId="10"/>
      <queryTableField id="11" name="Pendientes" tableColumnId="11"/>
      <queryTableField id="12" name="Precio" tableColumnId="12"/>
      <queryTableField id="13" name="Descuento" tableColumnId="13"/>
      <queryTableField id="14" name="ImporteNeto" tableColumnId="14"/>
      <queryTableField id="15" name="ImporteNetoPendiente" tableColumnId="15"/>
      <queryTableField id="16" name="Estado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A60ACA-9758-4E2F-8714-43288D8F7891}" name="LineasPedidoCliente" displayName="LineasPedidoCliente" ref="A1:P156" tableType="queryTable" totalsRowShown="0">
  <autoFilter ref="A1:P156" xr:uid="{6292CA43-A9C0-4280-B40A-9DD133760E8A}"/>
  <sortState xmlns:xlrd2="http://schemas.microsoft.com/office/spreadsheetml/2017/richdata2" ref="A2:P92">
    <sortCondition ref="A1:A92"/>
  </sortState>
  <tableColumns count="16">
    <tableColumn id="1" xr3:uid="{79FFDC31-DA67-4C1C-BF5A-16A44C08086A}" uniqueName="1" name="FechaPedido" queryTableFieldId="1" dataDxfId="0"/>
    <tableColumn id="2" xr3:uid="{B7A5BD2F-A0AA-4D2A-AD36-68A160353B28}" uniqueName="2" name="Ejercicio" queryTableFieldId="2"/>
    <tableColumn id="3" xr3:uid="{26952493-0B9E-4422-B66B-6E40E050CBF9}" uniqueName="3" name="Serie" queryTableFieldId="3" dataDxfId="5"/>
    <tableColumn id="4" xr3:uid="{10B4CFE4-809C-42C6-B2D5-9983FC62B930}" uniqueName="4" name="Pedido" queryTableFieldId="4"/>
    <tableColumn id="5" xr3:uid="{E2FFA7F6-5091-4D5A-8A15-7B6B0DD7A244}" uniqueName="5" name="CodigoCliente" queryTableFieldId="5" dataDxfId="4"/>
    <tableColumn id="6" xr3:uid="{BED21177-8E3E-4721-88F0-0FE6F8D4E245}" uniqueName="6" name="Cliente" queryTableFieldId="6" dataDxfId="3"/>
    <tableColumn id="7" xr3:uid="{32594C1A-7418-4B58-8F9A-36634B58AFFC}" uniqueName="7" name="CodigoArticulo" queryTableFieldId="7" dataDxfId="2"/>
    <tableColumn id="8" xr3:uid="{1F7F79D5-CC59-4DF9-BB7D-158F1ABA8184}" uniqueName="8" name="Articulo" queryTableFieldId="8" dataDxfId="1"/>
    <tableColumn id="9" xr3:uid="{63FB6AB6-C078-4B20-B394-D439DB3BC7E9}" uniqueName="9" name="Pedidas" queryTableFieldId="9"/>
    <tableColumn id="10" xr3:uid="{EBACB453-ECDA-4A66-B124-BA30C6F33D8E}" uniqueName="10" name="Servidas" queryTableFieldId="10"/>
    <tableColumn id="11" xr3:uid="{7499DAFD-C12E-4ADE-8A95-08E6656FD3CD}" uniqueName="11" name="Pendientes" queryTableFieldId="11"/>
    <tableColumn id="12" xr3:uid="{5F706293-EF08-4E30-A6F4-04814AF54AB7}" uniqueName="12" name="Precio" queryTableFieldId="12"/>
    <tableColumn id="13" xr3:uid="{718320C5-4C54-4306-B414-A5595AD3472D}" uniqueName="13" name="Descuento" queryTableFieldId="13"/>
    <tableColumn id="14" xr3:uid="{406B55BD-57EB-4F00-B2D1-2EF85BE05968}" uniqueName="14" name="ImporteNeto" queryTableFieldId="14"/>
    <tableColumn id="15" xr3:uid="{952AE950-1418-485E-A67A-632E0425BF3C}" uniqueName="15" name="ImporteNetoPendiente" queryTableFieldId="15"/>
    <tableColumn id="16" xr3:uid="{B75C0E86-67B8-4820-BB58-9789149D0CB9}" uniqueName="16" name="Estado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BF8C7-4EF9-4D9B-A009-B6059F02B37C}">
  <dimension ref="A1:P156"/>
  <sheetViews>
    <sheetView tabSelected="1" workbookViewId="0">
      <pane ySplit="1" topLeftCell="A134" activePane="bottomLeft" state="frozen"/>
      <selection activeCell="D1" sqref="D1"/>
      <selection pane="bottomLeft" activeCell="C158" sqref="C158"/>
    </sheetView>
  </sheetViews>
  <sheetFormatPr baseColWidth="10" defaultRowHeight="14.5" x14ac:dyDescent="0.35"/>
  <cols>
    <col min="1" max="1" width="11.36328125" style="1" customWidth="1"/>
    <col min="2" max="2" width="10.36328125" bestFit="1" customWidth="1"/>
    <col min="3" max="3" width="7.36328125" bestFit="1" customWidth="1"/>
    <col min="4" max="4" width="8.90625" bestFit="1" customWidth="1"/>
    <col min="5" max="5" width="11.54296875" customWidth="1"/>
    <col min="6" max="6" width="38.453125" bestFit="1" customWidth="1"/>
    <col min="7" max="7" width="13.6328125" customWidth="1"/>
    <col min="8" max="8" width="41.7265625" bestFit="1" customWidth="1"/>
    <col min="9" max="9" width="9.81640625" bestFit="1" customWidth="1"/>
    <col min="10" max="10" width="10.26953125" bestFit="1" customWidth="1"/>
    <col min="11" max="11" width="12.54296875" bestFit="1" customWidth="1"/>
    <col min="12" max="12" width="8.36328125" bestFit="1" customWidth="1"/>
    <col min="13" max="13" width="12.08984375" bestFit="1" customWidth="1"/>
    <col min="14" max="14" width="13.54296875" bestFit="1" customWidth="1"/>
    <col min="15" max="15" width="22.1796875" bestFit="1" customWidth="1"/>
    <col min="16" max="16" width="8.7265625" bestFit="1" customWidth="1"/>
  </cols>
  <sheetData>
    <row r="1" spans="1:1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>
        <v>46296</v>
      </c>
      <c r="B2">
        <v>2026</v>
      </c>
      <c r="C2" t="s">
        <v>16</v>
      </c>
      <c r="D2">
        <v>851</v>
      </c>
      <c r="E2" t="s">
        <v>17</v>
      </c>
      <c r="F2" t="s">
        <v>18</v>
      </c>
      <c r="G2" t="s">
        <v>19</v>
      </c>
      <c r="H2" t="s">
        <v>20</v>
      </c>
      <c r="I2">
        <v>640</v>
      </c>
      <c r="J2">
        <v>640</v>
      </c>
      <c r="K2">
        <v>0</v>
      </c>
      <c r="L2">
        <v>3.76</v>
      </c>
      <c r="M2">
        <v>0</v>
      </c>
      <c r="N2">
        <v>2406.4</v>
      </c>
      <c r="O2">
        <v>0</v>
      </c>
      <c r="P2">
        <v>2</v>
      </c>
    </row>
    <row r="3" spans="1:16" x14ac:dyDescent="0.35">
      <c r="A3" s="1">
        <v>46296</v>
      </c>
      <c r="B3">
        <v>2026</v>
      </c>
      <c r="C3" t="s">
        <v>16</v>
      </c>
      <c r="D3">
        <v>852</v>
      </c>
      <c r="E3" t="s">
        <v>21</v>
      </c>
      <c r="F3" t="s">
        <v>22</v>
      </c>
      <c r="G3" t="s">
        <v>23</v>
      </c>
      <c r="H3" t="s">
        <v>24</v>
      </c>
      <c r="I3">
        <v>200</v>
      </c>
      <c r="J3">
        <v>200</v>
      </c>
      <c r="K3">
        <v>0</v>
      </c>
      <c r="L3">
        <v>10.34</v>
      </c>
      <c r="M3">
        <v>0</v>
      </c>
      <c r="N3">
        <v>2068</v>
      </c>
      <c r="O3">
        <v>0</v>
      </c>
      <c r="P3">
        <v>2</v>
      </c>
    </row>
    <row r="4" spans="1:16" x14ac:dyDescent="0.35">
      <c r="A4" s="1">
        <v>46296</v>
      </c>
      <c r="B4">
        <v>2026</v>
      </c>
      <c r="C4" t="s">
        <v>16</v>
      </c>
      <c r="D4">
        <v>852</v>
      </c>
      <c r="E4" t="s">
        <v>21</v>
      </c>
      <c r="F4" t="s">
        <v>22</v>
      </c>
      <c r="G4" t="s">
        <v>25</v>
      </c>
      <c r="H4" t="s">
        <v>26</v>
      </c>
      <c r="I4">
        <v>600</v>
      </c>
      <c r="J4">
        <v>600</v>
      </c>
      <c r="K4">
        <v>0</v>
      </c>
      <c r="L4">
        <v>5.66</v>
      </c>
      <c r="M4">
        <v>0</v>
      </c>
      <c r="N4">
        <v>3396</v>
      </c>
      <c r="O4">
        <v>0</v>
      </c>
      <c r="P4">
        <v>2</v>
      </c>
    </row>
    <row r="5" spans="1:16" x14ac:dyDescent="0.35">
      <c r="A5" s="1">
        <v>46296</v>
      </c>
      <c r="B5">
        <v>2026</v>
      </c>
      <c r="C5" t="s">
        <v>16</v>
      </c>
      <c r="D5">
        <v>852</v>
      </c>
      <c r="E5" t="s">
        <v>21</v>
      </c>
      <c r="F5" t="s">
        <v>22</v>
      </c>
      <c r="G5" t="s">
        <v>19</v>
      </c>
      <c r="H5" t="s">
        <v>20</v>
      </c>
      <c r="I5">
        <v>2560</v>
      </c>
      <c r="J5">
        <v>2560</v>
      </c>
      <c r="K5">
        <v>0</v>
      </c>
      <c r="L5">
        <v>3.87</v>
      </c>
      <c r="M5">
        <v>0</v>
      </c>
      <c r="N5">
        <v>9907.2000000000007</v>
      </c>
      <c r="O5">
        <v>0</v>
      </c>
      <c r="P5">
        <v>2</v>
      </c>
    </row>
    <row r="6" spans="1:16" x14ac:dyDescent="0.35">
      <c r="A6" s="1">
        <v>46296</v>
      </c>
      <c r="B6">
        <v>2026</v>
      </c>
      <c r="C6" t="s">
        <v>16</v>
      </c>
      <c r="D6">
        <v>852</v>
      </c>
      <c r="E6" t="s">
        <v>21</v>
      </c>
      <c r="F6" t="s">
        <v>22</v>
      </c>
      <c r="G6" t="s">
        <v>27</v>
      </c>
      <c r="H6" t="s">
        <v>28</v>
      </c>
      <c r="I6">
        <v>200</v>
      </c>
      <c r="J6">
        <v>200</v>
      </c>
      <c r="K6">
        <v>0</v>
      </c>
      <c r="L6">
        <v>5.01</v>
      </c>
      <c r="M6">
        <v>0</v>
      </c>
      <c r="N6">
        <v>1002</v>
      </c>
      <c r="O6">
        <v>0</v>
      </c>
      <c r="P6">
        <v>2</v>
      </c>
    </row>
    <row r="7" spans="1:16" x14ac:dyDescent="0.35">
      <c r="A7" s="1">
        <v>46296</v>
      </c>
      <c r="B7">
        <v>2026</v>
      </c>
      <c r="C7" t="s">
        <v>16</v>
      </c>
      <c r="D7">
        <v>853</v>
      </c>
      <c r="E7" t="s">
        <v>29</v>
      </c>
      <c r="F7" t="s">
        <v>30</v>
      </c>
      <c r="G7" t="s">
        <v>31</v>
      </c>
      <c r="H7" t="s">
        <v>32</v>
      </c>
      <c r="I7">
        <v>26</v>
      </c>
      <c r="J7">
        <v>0</v>
      </c>
      <c r="K7">
        <v>26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5">
      <c r="A8" s="1">
        <v>46296</v>
      </c>
      <c r="B8">
        <v>2026</v>
      </c>
      <c r="C8" t="s">
        <v>16</v>
      </c>
      <c r="D8">
        <v>853</v>
      </c>
      <c r="E8" t="s">
        <v>29</v>
      </c>
      <c r="F8" t="s">
        <v>30</v>
      </c>
      <c r="G8" t="s">
        <v>33</v>
      </c>
      <c r="H8" t="s">
        <v>34</v>
      </c>
      <c r="I8">
        <v>575</v>
      </c>
      <c r="J8">
        <v>0</v>
      </c>
      <c r="K8">
        <v>575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5">
      <c r="A9" s="1">
        <v>46296</v>
      </c>
      <c r="B9">
        <v>2026</v>
      </c>
      <c r="C9" t="s">
        <v>16</v>
      </c>
      <c r="D9">
        <v>853</v>
      </c>
      <c r="E9" t="s">
        <v>29</v>
      </c>
      <c r="F9" t="s">
        <v>30</v>
      </c>
      <c r="G9" t="s">
        <v>35</v>
      </c>
      <c r="H9" t="s">
        <v>36</v>
      </c>
      <c r="I9">
        <v>9</v>
      </c>
      <c r="J9">
        <v>0</v>
      </c>
      <c r="K9">
        <v>9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5">
      <c r="A10" s="1">
        <v>46296</v>
      </c>
      <c r="B10">
        <v>2026</v>
      </c>
      <c r="C10" t="s">
        <v>16</v>
      </c>
      <c r="D10">
        <v>853</v>
      </c>
      <c r="E10" t="s">
        <v>29</v>
      </c>
      <c r="F10" t="s">
        <v>30</v>
      </c>
      <c r="G10" t="s">
        <v>37</v>
      </c>
      <c r="H10" t="s">
        <v>38</v>
      </c>
      <c r="I10">
        <v>325</v>
      </c>
      <c r="J10">
        <v>0</v>
      </c>
      <c r="K10">
        <v>325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5">
      <c r="A11" s="1">
        <v>46296</v>
      </c>
      <c r="B11">
        <v>2026</v>
      </c>
      <c r="C11" t="s">
        <v>16</v>
      </c>
      <c r="D11">
        <v>854</v>
      </c>
      <c r="E11" t="s">
        <v>39</v>
      </c>
      <c r="F11" t="s">
        <v>40</v>
      </c>
      <c r="G11" t="s">
        <v>41</v>
      </c>
      <c r="H11" t="s">
        <v>42</v>
      </c>
      <c r="I11">
        <v>800</v>
      </c>
      <c r="J11">
        <v>800</v>
      </c>
      <c r="K11">
        <v>0</v>
      </c>
      <c r="L11">
        <v>2.0099999999999998</v>
      </c>
      <c r="M11">
        <v>0</v>
      </c>
      <c r="N11">
        <v>1608</v>
      </c>
      <c r="O11">
        <v>0</v>
      </c>
      <c r="P11">
        <v>2</v>
      </c>
    </row>
    <row r="12" spans="1:16" x14ac:dyDescent="0.35">
      <c r="A12" s="1">
        <v>46296</v>
      </c>
      <c r="B12">
        <v>2026</v>
      </c>
      <c r="C12" t="s">
        <v>16</v>
      </c>
      <c r="D12">
        <v>854</v>
      </c>
      <c r="E12" t="s">
        <v>39</v>
      </c>
      <c r="F12" t="s">
        <v>40</v>
      </c>
      <c r="G12" t="s">
        <v>43</v>
      </c>
      <c r="H12" t="s">
        <v>44</v>
      </c>
      <c r="I12">
        <v>320</v>
      </c>
      <c r="J12">
        <v>320</v>
      </c>
      <c r="K12">
        <v>0</v>
      </c>
      <c r="L12">
        <v>10.92</v>
      </c>
      <c r="M12">
        <v>0</v>
      </c>
      <c r="N12">
        <v>3494.4</v>
      </c>
      <c r="O12">
        <v>0</v>
      </c>
      <c r="P12">
        <v>2</v>
      </c>
    </row>
    <row r="13" spans="1:16" x14ac:dyDescent="0.35">
      <c r="A13" s="1">
        <v>46296</v>
      </c>
      <c r="B13">
        <v>2026</v>
      </c>
      <c r="C13" t="s">
        <v>16</v>
      </c>
      <c r="D13">
        <v>854</v>
      </c>
      <c r="E13" t="s">
        <v>39</v>
      </c>
      <c r="F13" t="s">
        <v>40</v>
      </c>
      <c r="G13" t="s">
        <v>45</v>
      </c>
      <c r="H13" t="s">
        <v>46</v>
      </c>
      <c r="I13">
        <v>100</v>
      </c>
      <c r="J13">
        <v>100</v>
      </c>
      <c r="K13">
        <v>0</v>
      </c>
      <c r="L13">
        <v>12.47</v>
      </c>
      <c r="M13">
        <v>0</v>
      </c>
      <c r="N13">
        <v>1247</v>
      </c>
      <c r="O13">
        <v>0</v>
      </c>
      <c r="P13">
        <v>2</v>
      </c>
    </row>
    <row r="14" spans="1:16" x14ac:dyDescent="0.35">
      <c r="A14" s="1">
        <v>46296</v>
      </c>
      <c r="B14">
        <v>2026</v>
      </c>
      <c r="C14" t="s">
        <v>16</v>
      </c>
      <c r="D14">
        <v>854</v>
      </c>
      <c r="E14" t="s">
        <v>39</v>
      </c>
      <c r="F14" t="s">
        <v>40</v>
      </c>
      <c r="G14" t="s">
        <v>47</v>
      </c>
      <c r="H14" t="s">
        <v>48</v>
      </c>
      <c r="I14">
        <v>640</v>
      </c>
      <c r="J14">
        <v>640</v>
      </c>
      <c r="K14">
        <v>0</v>
      </c>
      <c r="L14">
        <v>2.1</v>
      </c>
      <c r="M14">
        <v>0</v>
      </c>
      <c r="N14">
        <v>1344</v>
      </c>
      <c r="O14">
        <v>0</v>
      </c>
      <c r="P14">
        <v>2</v>
      </c>
    </row>
    <row r="15" spans="1:16" x14ac:dyDescent="0.35">
      <c r="A15" s="1">
        <v>46296</v>
      </c>
      <c r="B15">
        <v>2026</v>
      </c>
      <c r="C15" t="s">
        <v>16</v>
      </c>
      <c r="D15">
        <v>854</v>
      </c>
      <c r="E15" t="s">
        <v>39</v>
      </c>
      <c r="F15" t="s">
        <v>40</v>
      </c>
      <c r="G15" t="s">
        <v>49</v>
      </c>
      <c r="H15" t="s">
        <v>50</v>
      </c>
      <c r="I15">
        <v>800</v>
      </c>
      <c r="J15">
        <v>800</v>
      </c>
      <c r="K15">
        <v>0</v>
      </c>
      <c r="L15">
        <v>3.82</v>
      </c>
      <c r="M15">
        <v>0</v>
      </c>
      <c r="N15">
        <v>3056</v>
      </c>
      <c r="O15">
        <v>0</v>
      </c>
      <c r="P15">
        <v>2</v>
      </c>
    </row>
    <row r="16" spans="1:16" x14ac:dyDescent="0.35">
      <c r="A16" s="1">
        <v>46296</v>
      </c>
      <c r="B16">
        <v>2026</v>
      </c>
      <c r="C16" t="s">
        <v>16</v>
      </c>
      <c r="D16">
        <v>854</v>
      </c>
      <c r="E16" t="s">
        <v>39</v>
      </c>
      <c r="F16" t="s">
        <v>40</v>
      </c>
      <c r="G16" t="s">
        <v>47</v>
      </c>
      <c r="H16" t="s">
        <v>48</v>
      </c>
      <c r="I16">
        <v>1280</v>
      </c>
      <c r="J16">
        <v>1280</v>
      </c>
      <c r="K16">
        <v>0</v>
      </c>
      <c r="L16">
        <v>2.1</v>
      </c>
      <c r="M16">
        <v>0</v>
      </c>
      <c r="N16">
        <v>2688</v>
      </c>
      <c r="O16">
        <v>0</v>
      </c>
      <c r="P16">
        <v>2</v>
      </c>
    </row>
    <row r="17" spans="1:16" x14ac:dyDescent="0.35">
      <c r="A17" s="1">
        <v>46296</v>
      </c>
      <c r="B17">
        <v>2026</v>
      </c>
      <c r="C17" t="s">
        <v>16</v>
      </c>
      <c r="D17">
        <v>855</v>
      </c>
      <c r="E17" t="s">
        <v>51</v>
      </c>
      <c r="F17" t="s">
        <v>52</v>
      </c>
      <c r="G17" t="s">
        <v>53</v>
      </c>
      <c r="H17" t="s">
        <v>54</v>
      </c>
      <c r="I17">
        <v>200</v>
      </c>
      <c r="J17">
        <v>200</v>
      </c>
      <c r="K17">
        <v>0</v>
      </c>
      <c r="L17">
        <v>3.67</v>
      </c>
      <c r="M17">
        <v>0</v>
      </c>
      <c r="N17">
        <v>734</v>
      </c>
      <c r="O17">
        <v>0</v>
      </c>
      <c r="P17">
        <v>2</v>
      </c>
    </row>
    <row r="18" spans="1:16" x14ac:dyDescent="0.35">
      <c r="A18" s="1">
        <v>46297</v>
      </c>
      <c r="B18">
        <v>2026</v>
      </c>
      <c r="C18" t="s">
        <v>16</v>
      </c>
      <c r="D18">
        <v>856</v>
      </c>
      <c r="E18" t="s">
        <v>55</v>
      </c>
      <c r="F18" t="s">
        <v>56</v>
      </c>
      <c r="G18" t="s">
        <v>57</v>
      </c>
      <c r="H18" t="s">
        <v>58</v>
      </c>
      <c r="I18">
        <v>640</v>
      </c>
      <c r="J18">
        <v>640</v>
      </c>
      <c r="K18">
        <v>0</v>
      </c>
      <c r="L18">
        <v>3.04</v>
      </c>
      <c r="M18">
        <v>0</v>
      </c>
      <c r="N18">
        <v>1945.6</v>
      </c>
      <c r="O18">
        <v>0</v>
      </c>
      <c r="P18">
        <v>2</v>
      </c>
    </row>
    <row r="19" spans="1:16" x14ac:dyDescent="0.35">
      <c r="A19" s="1">
        <v>46297</v>
      </c>
      <c r="B19">
        <v>2026</v>
      </c>
      <c r="C19" t="s">
        <v>16</v>
      </c>
      <c r="D19">
        <v>856</v>
      </c>
      <c r="E19" t="s">
        <v>55</v>
      </c>
      <c r="F19" t="s">
        <v>56</v>
      </c>
      <c r="G19" t="s">
        <v>59</v>
      </c>
      <c r="H19" t="s">
        <v>60</v>
      </c>
      <c r="I19">
        <v>100</v>
      </c>
      <c r="J19">
        <v>100</v>
      </c>
      <c r="K19">
        <v>0</v>
      </c>
      <c r="L19">
        <v>4.8600000000000003</v>
      </c>
      <c r="M19">
        <v>0</v>
      </c>
      <c r="N19">
        <v>486</v>
      </c>
      <c r="O19">
        <v>0</v>
      </c>
      <c r="P19">
        <v>2</v>
      </c>
    </row>
    <row r="20" spans="1:16" x14ac:dyDescent="0.35">
      <c r="A20" s="1">
        <v>46297</v>
      </c>
      <c r="B20">
        <v>2026</v>
      </c>
      <c r="C20" t="s">
        <v>16</v>
      </c>
      <c r="D20">
        <v>857</v>
      </c>
      <c r="E20" t="s">
        <v>29</v>
      </c>
      <c r="F20" t="s">
        <v>30</v>
      </c>
      <c r="G20" t="s">
        <v>61</v>
      </c>
      <c r="H20" t="s">
        <v>62</v>
      </c>
      <c r="I20">
        <v>20</v>
      </c>
      <c r="J20">
        <v>0</v>
      </c>
      <c r="K20">
        <v>20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35">
      <c r="A21" s="1">
        <v>46297</v>
      </c>
      <c r="B21">
        <v>2026</v>
      </c>
      <c r="C21" t="s">
        <v>16</v>
      </c>
      <c r="D21">
        <v>857</v>
      </c>
      <c r="E21" t="s">
        <v>29</v>
      </c>
      <c r="F21" t="s">
        <v>30</v>
      </c>
      <c r="G21" t="s">
        <v>63</v>
      </c>
      <c r="H21" t="s">
        <v>64</v>
      </c>
      <c r="I21">
        <v>20</v>
      </c>
      <c r="J21">
        <v>0</v>
      </c>
      <c r="K21">
        <v>20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35">
      <c r="A22" s="1">
        <v>46297</v>
      </c>
      <c r="B22">
        <v>2026</v>
      </c>
      <c r="C22" t="s">
        <v>16</v>
      </c>
      <c r="D22">
        <v>857</v>
      </c>
      <c r="E22" t="s">
        <v>29</v>
      </c>
      <c r="F22" t="s">
        <v>30</v>
      </c>
      <c r="G22" t="s">
        <v>65</v>
      </c>
      <c r="H22" t="s">
        <v>66</v>
      </c>
      <c r="I22">
        <v>20</v>
      </c>
      <c r="J22">
        <v>0</v>
      </c>
      <c r="K22">
        <v>20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35">
      <c r="A23" s="1">
        <v>46297</v>
      </c>
      <c r="B23">
        <v>2026</v>
      </c>
      <c r="C23" t="s">
        <v>16</v>
      </c>
      <c r="D23">
        <v>858</v>
      </c>
      <c r="E23" t="s">
        <v>17</v>
      </c>
      <c r="F23" t="s">
        <v>18</v>
      </c>
      <c r="G23" t="s">
        <v>67</v>
      </c>
      <c r="H23" t="s">
        <v>68</v>
      </c>
      <c r="I23">
        <v>640</v>
      </c>
      <c r="J23">
        <v>640</v>
      </c>
      <c r="K23">
        <v>0</v>
      </c>
      <c r="L23">
        <v>2.2599999999999998</v>
      </c>
      <c r="M23">
        <v>0</v>
      </c>
      <c r="N23">
        <v>1446.4</v>
      </c>
      <c r="O23">
        <v>0</v>
      </c>
      <c r="P23">
        <v>2</v>
      </c>
    </row>
    <row r="24" spans="1:16" x14ac:dyDescent="0.35">
      <c r="A24" s="1">
        <v>46297</v>
      </c>
      <c r="B24">
        <v>2026</v>
      </c>
      <c r="C24" t="s">
        <v>16</v>
      </c>
      <c r="D24">
        <v>859</v>
      </c>
      <c r="E24" t="s">
        <v>69</v>
      </c>
      <c r="F24" t="s">
        <v>70</v>
      </c>
      <c r="G24" t="s">
        <v>71</v>
      </c>
      <c r="H24" t="s">
        <v>72</v>
      </c>
      <c r="I24">
        <v>100</v>
      </c>
      <c r="J24">
        <v>100</v>
      </c>
      <c r="K24">
        <v>0</v>
      </c>
      <c r="L24">
        <v>3.49</v>
      </c>
      <c r="M24">
        <v>0</v>
      </c>
      <c r="N24">
        <v>349</v>
      </c>
      <c r="O24">
        <v>0</v>
      </c>
      <c r="P24">
        <v>2</v>
      </c>
    </row>
    <row r="25" spans="1:16" x14ac:dyDescent="0.35">
      <c r="A25" s="1">
        <v>46297</v>
      </c>
      <c r="B25">
        <v>2026</v>
      </c>
      <c r="C25" t="s">
        <v>16</v>
      </c>
      <c r="D25">
        <v>859</v>
      </c>
      <c r="E25" t="s">
        <v>69</v>
      </c>
      <c r="F25" t="s">
        <v>70</v>
      </c>
      <c r="G25" t="s">
        <v>53</v>
      </c>
      <c r="H25" t="s">
        <v>54</v>
      </c>
      <c r="I25">
        <v>200</v>
      </c>
      <c r="J25">
        <v>200</v>
      </c>
      <c r="K25">
        <v>0</v>
      </c>
      <c r="L25">
        <v>3.3</v>
      </c>
      <c r="M25">
        <v>0</v>
      </c>
      <c r="N25">
        <v>660</v>
      </c>
      <c r="O25">
        <v>0</v>
      </c>
      <c r="P25">
        <v>2</v>
      </c>
    </row>
    <row r="26" spans="1:16" x14ac:dyDescent="0.35">
      <c r="A26" s="1">
        <v>46297</v>
      </c>
      <c r="B26">
        <v>2026</v>
      </c>
      <c r="C26" t="s">
        <v>16</v>
      </c>
      <c r="D26">
        <v>859</v>
      </c>
      <c r="E26" t="s">
        <v>69</v>
      </c>
      <c r="F26" t="s">
        <v>70</v>
      </c>
      <c r="G26" t="s">
        <v>73</v>
      </c>
      <c r="H26" t="s">
        <v>74</v>
      </c>
      <c r="I26">
        <v>320</v>
      </c>
      <c r="J26">
        <v>320</v>
      </c>
      <c r="K26">
        <v>0</v>
      </c>
      <c r="L26">
        <v>3.05</v>
      </c>
      <c r="M26">
        <v>0</v>
      </c>
      <c r="N26">
        <v>976</v>
      </c>
      <c r="O26">
        <v>0</v>
      </c>
      <c r="P26">
        <v>2</v>
      </c>
    </row>
    <row r="27" spans="1:16" x14ac:dyDescent="0.35">
      <c r="A27" s="1">
        <v>46300</v>
      </c>
      <c r="B27">
        <v>2026</v>
      </c>
      <c r="C27" t="s">
        <v>16</v>
      </c>
      <c r="D27">
        <v>860</v>
      </c>
      <c r="E27" t="s">
        <v>51</v>
      </c>
      <c r="F27" t="s">
        <v>52</v>
      </c>
      <c r="G27" t="s">
        <v>53</v>
      </c>
      <c r="H27" t="s">
        <v>54</v>
      </c>
      <c r="I27">
        <v>200</v>
      </c>
      <c r="J27">
        <v>200</v>
      </c>
      <c r="K27">
        <v>0</v>
      </c>
      <c r="L27">
        <v>3.67</v>
      </c>
      <c r="M27">
        <v>0</v>
      </c>
      <c r="N27">
        <v>734</v>
      </c>
      <c r="O27">
        <v>0</v>
      </c>
      <c r="P27">
        <v>2</v>
      </c>
    </row>
    <row r="28" spans="1:16" x14ac:dyDescent="0.35">
      <c r="A28" s="1">
        <v>46300</v>
      </c>
      <c r="B28">
        <v>2026</v>
      </c>
      <c r="C28" t="s">
        <v>16</v>
      </c>
      <c r="D28">
        <v>861</v>
      </c>
      <c r="E28" t="s">
        <v>69</v>
      </c>
      <c r="F28" t="s">
        <v>70</v>
      </c>
      <c r="G28" t="s">
        <v>71</v>
      </c>
      <c r="H28" t="s">
        <v>72</v>
      </c>
      <c r="I28">
        <v>160</v>
      </c>
      <c r="J28">
        <v>160</v>
      </c>
      <c r="K28">
        <v>0</v>
      </c>
      <c r="L28">
        <v>3.49</v>
      </c>
      <c r="M28">
        <v>0</v>
      </c>
      <c r="N28">
        <v>558.4</v>
      </c>
      <c r="O28">
        <v>0</v>
      </c>
      <c r="P28">
        <v>2</v>
      </c>
    </row>
    <row r="29" spans="1:16" x14ac:dyDescent="0.35">
      <c r="A29" s="1">
        <v>46300</v>
      </c>
      <c r="B29">
        <v>2026</v>
      </c>
      <c r="C29" t="s">
        <v>16</v>
      </c>
      <c r="D29">
        <v>861</v>
      </c>
      <c r="E29" t="s">
        <v>69</v>
      </c>
      <c r="F29" t="s">
        <v>70</v>
      </c>
      <c r="G29" t="s">
        <v>75</v>
      </c>
      <c r="H29" t="s">
        <v>72</v>
      </c>
      <c r="I29">
        <v>40</v>
      </c>
      <c r="J29">
        <v>40</v>
      </c>
      <c r="K29">
        <v>0</v>
      </c>
      <c r="L29">
        <v>3.49</v>
      </c>
      <c r="M29">
        <v>0</v>
      </c>
      <c r="N29">
        <v>139.6</v>
      </c>
      <c r="O29">
        <v>0</v>
      </c>
      <c r="P29">
        <v>2</v>
      </c>
    </row>
    <row r="30" spans="1:16" x14ac:dyDescent="0.35">
      <c r="A30" s="1">
        <v>46301</v>
      </c>
      <c r="B30">
        <v>2026</v>
      </c>
      <c r="C30" t="s">
        <v>76</v>
      </c>
      <c r="D30">
        <v>143</v>
      </c>
      <c r="E30" t="s">
        <v>77</v>
      </c>
      <c r="F30" t="s">
        <v>78</v>
      </c>
      <c r="G30" t="s">
        <v>79</v>
      </c>
      <c r="H30" t="s">
        <v>80</v>
      </c>
      <c r="I30">
        <v>16800</v>
      </c>
      <c r="J30">
        <v>0</v>
      </c>
      <c r="K30">
        <v>16800</v>
      </c>
      <c r="L30">
        <v>3.29</v>
      </c>
      <c r="M30">
        <v>0</v>
      </c>
      <c r="N30">
        <v>55272</v>
      </c>
      <c r="O30">
        <v>55272</v>
      </c>
      <c r="P30">
        <v>0</v>
      </c>
    </row>
    <row r="31" spans="1:16" x14ac:dyDescent="0.35">
      <c r="A31" s="1">
        <v>46301</v>
      </c>
      <c r="B31">
        <v>2026</v>
      </c>
      <c r="C31" t="s">
        <v>76</v>
      </c>
      <c r="D31">
        <v>144</v>
      </c>
      <c r="E31" t="s">
        <v>77</v>
      </c>
      <c r="F31" t="s">
        <v>78</v>
      </c>
      <c r="G31" t="s">
        <v>81</v>
      </c>
      <c r="H31" t="s">
        <v>82</v>
      </c>
      <c r="I31">
        <v>21000</v>
      </c>
      <c r="J31">
        <v>0</v>
      </c>
      <c r="K31">
        <v>21000</v>
      </c>
      <c r="L31">
        <v>3.87</v>
      </c>
      <c r="M31">
        <v>0</v>
      </c>
      <c r="N31">
        <v>81270</v>
      </c>
      <c r="O31">
        <v>81270</v>
      </c>
      <c r="P31">
        <v>0</v>
      </c>
    </row>
    <row r="32" spans="1:16" x14ac:dyDescent="0.35">
      <c r="A32" s="1">
        <v>46302</v>
      </c>
      <c r="B32">
        <v>2026</v>
      </c>
      <c r="C32" t="s">
        <v>16</v>
      </c>
      <c r="D32">
        <v>866</v>
      </c>
      <c r="E32" t="s">
        <v>83</v>
      </c>
      <c r="F32" t="s">
        <v>84</v>
      </c>
      <c r="G32" t="s">
        <v>73</v>
      </c>
      <c r="H32" t="s">
        <v>74</v>
      </c>
      <c r="I32">
        <v>640</v>
      </c>
      <c r="J32">
        <v>640</v>
      </c>
      <c r="K32">
        <v>0</v>
      </c>
      <c r="L32">
        <v>3.16</v>
      </c>
      <c r="M32">
        <v>0</v>
      </c>
      <c r="N32">
        <v>2022.4</v>
      </c>
      <c r="O32">
        <v>0</v>
      </c>
      <c r="P32">
        <v>2</v>
      </c>
    </row>
    <row r="33" spans="1:16" x14ac:dyDescent="0.35">
      <c r="A33" s="1">
        <v>46302</v>
      </c>
      <c r="B33">
        <v>2026</v>
      </c>
      <c r="C33" t="s">
        <v>16</v>
      </c>
      <c r="D33">
        <v>862</v>
      </c>
      <c r="E33" t="s">
        <v>69</v>
      </c>
      <c r="F33" t="s">
        <v>70</v>
      </c>
      <c r="G33" t="s">
        <v>85</v>
      </c>
      <c r="H33" t="s">
        <v>86</v>
      </c>
      <c r="I33">
        <v>1000</v>
      </c>
      <c r="J33">
        <v>0</v>
      </c>
      <c r="K33">
        <v>1000</v>
      </c>
      <c r="L33">
        <v>2.12</v>
      </c>
      <c r="M33">
        <v>0</v>
      </c>
      <c r="N33">
        <v>2120</v>
      </c>
      <c r="O33">
        <v>2120</v>
      </c>
      <c r="P33">
        <v>0</v>
      </c>
    </row>
    <row r="34" spans="1:16" x14ac:dyDescent="0.35">
      <c r="A34" s="1">
        <v>46302</v>
      </c>
      <c r="B34">
        <v>2026</v>
      </c>
      <c r="C34" t="s">
        <v>16</v>
      </c>
      <c r="D34">
        <v>863</v>
      </c>
      <c r="E34" t="s">
        <v>21</v>
      </c>
      <c r="F34" t="s">
        <v>22</v>
      </c>
      <c r="G34" t="s">
        <v>57</v>
      </c>
      <c r="H34" t="s">
        <v>58</v>
      </c>
      <c r="I34">
        <v>640</v>
      </c>
      <c r="J34">
        <v>640</v>
      </c>
      <c r="K34">
        <v>0</v>
      </c>
      <c r="L34">
        <v>3.48</v>
      </c>
      <c r="M34">
        <v>0</v>
      </c>
      <c r="N34">
        <v>2227.1999999999998</v>
      </c>
      <c r="O34">
        <v>0</v>
      </c>
      <c r="P34">
        <v>2</v>
      </c>
    </row>
    <row r="35" spans="1:16" x14ac:dyDescent="0.35">
      <c r="A35" s="1">
        <v>46302</v>
      </c>
      <c r="B35">
        <v>2026</v>
      </c>
      <c r="C35" t="s">
        <v>16</v>
      </c>
      <c r="D35">
        <v>863</v>
      </c>
      <c r="E35" t="s">
        <v>21</v>
      </c>
      <c r="F35" t="s">
        <v>22</v>
      </c>
      <c r="G35" t="s">
        <v>73</v>
      </c>
      <c r="H35" t="s">
        <v>74</v>
      </c>
      <c r="I35">
        <v>320</v>
      </c>
      <c r="J35">
        <v>320</v>
      </c>
      <c r="K35">
        <v>0</v>
      </c>
      <c r="L35">
        <v>3.65</v>
      </c>
      <c r="M35">
        <v>0</v>
      </c>
      <c r="N35">
        <v>1168</v>
      </c>
      <c r="O35">
        <v>0</v>
      </c>
      <c r="P35">
        <v>2</v>
      </c>
    </row>
    <row r="36" spans="1:16" x14ac:dyDescent="0.35">
      <c r="A36" s="1">
        <v>46302</v>
      </c>
      <c r="B36">
        <v>2026</v>
      </c>
      <c r="C36" t="s">
        <v>16</v>
      </c>
      <c r="D36">
        <v>863</v>
      </c>
      <c r="E36" t="s">
        <v>21</v>
      </c>
      <c r="F36" t="s">
        <v>22</v>
      </c>
      <c r="G36" t="s">
        <v>87</v>
      </c>
      <c r="H36" t="s">
        <v>88</v>
      </c>
      <c r="I36">
        <v>100</v>
      </c>
      <c r="J36">
        <v>100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</row>
    <row r="37" spans="1:16" x14ac:dyDescent="0.35">
      <c r="A37" s="1">
        <v>46302</v>
      </c>
      <c r="B37">
        <v>2026</v>
      </c>
      <c r="C37" t="s">
        <v>16</v>
      </c>
      <c r="D37">
        <v>863</v>
      </c>
      <c r="E37" t="s">
        <v>21</v>
      </c>
      <c r="F37" t="s">
        <v>22</v>
      </c>
      <c r="G37" t="s">
        <v>47</v>
      </c>
      <c r="H37" t="s">
        <v>48</v>
      </c>
      <c r="I37">
        <v>640</v>
      </c>
      <c r="J37">
        <v>640</v>
      </c>
      <c r="K37">
        <v>0</v>
      </c>
      <c r="L37">
        <v>2.34</v>
      </c>
      <c r="M37">
        <v>0</v>
      </c>
      <c r="N37">
        <v>1497.6</v>
      </c>
      <c r="O37">
        <v>0</v>
      </c>
      <c r="P37">
        <v>2</v>
      </c>
    </row>
    <row r="38" spans="1:16" x14ac:dyDescent="0.35">
      <c r="A38" s="1">
        <v>46302</v>
      </c>
      <c r="B38">
        <v>2026</v>
      </c>
      <c r="C38" t="s">
        <v>16</v>
      </c>
      <c r="D38">
        <v>863</v>
      </c>
      <c r="E38" t="s">
        <v>21</v>
      </c>
      <c r="F38" t="s">
        <v>22</v>
      </c>
      <c r="G38" t="s">
        <v>89</v>
      </c>
      <c r="H38" t="s">
        <v>90</v>
      </c>
      <c r="I38">
        <v>80</v>
      </c>
      <c r="J38">
        <v>80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</row>
    <row r="39" spans="1:16" x14ac:dyDescent="0.35">
      <c r="A39" s="1">
        <v>46302</v>
      </c>
      <c r="B39">
        <v>2026</v>
      </c>
      <c r="C39" t="s">
        <v>16</v>
      </c>
      <c r="D39">
        <v>865</v>
      </c>
      <c r="E39" t="s">
        <v>91</v>
      </c>
      <c r="F39" t="s">
        <v>92</v>
      </c>
      <c r="G39" t="s">
        <v>93</v>
      </c>
      <c r="H39" t="s">
        <v>94</v>
      </c>
      <c r="I39">
        <v>640</v>
      </c>
      <c r="J39">
        <v>640</v>
      </c>
      <c r="K39">
        <v>0</v>
      </c>
      <c r="L39">
        <v>2.92</v>
      </c>
      <c r="M39">
        <v>0</v>
      </c>
      <c r="N39">
        <v>1868.8</v>
      </c>
      <c r="O39">
        <v>0</v>
      </c>
      <c r="P39">
        <v>2</v>
      </c>
    </row>
    <row r="40" spans="1:16" x14ac:dyDescent="0.35">
      <c r="A40" s="1">
        <v>46302</v>
      </c>
      <c r="B40">
        <v>2026</v>
      </c>
      <c r="C40" t="s">
        <v>16</v>
      </c>
      <c r="D40">
        <v>865</v>
      </c>
      <c r="E40" t="s">
        <v>91</v>
      </c>
      <c r="F40" t="s">
        <v>92</v>
      </c>
      <c r="G40" t="s">
        <v>95</v>
      </c>
      <c r="H40" t="s">
        <v>96</v>
      </c>
      <c r="I40">
        <v>640</v>
      </c>
      <c r="J40">
        <v>640</v>
      </c>
      <c r="K40">
        <v>0</v>
      </c>
      <c r="L40">
        <v>2.37</v>
      </c>
      <c r="M40">
        <v>0</v>
      </c>
      <c r="N40">
        <v>1516.8</v>
      </c>
      <c r="O40">
        <v>0</v>
      </c>
      <c r="P40">
        <v>2</v>
      </c>
    </row>
    <row r="41" spans="1:16" x14ac:dyDescent="0.35">
      <c r="A41" s="1">
        <v>46303</v>
      </c>
      <c r="B41">
        <v>2026</v>
      </c>
      <c r="C41" t="s">
        <v>16</v>
      </c>
      <c r="D41">
        <v>867</v>
      </c>
      <c r="E41" t="s">
        <v>97</v>
      </c>
      <c r="F41" t="s">
        <v>98</v>
      </c>
      <c r="G41" t="s">
        <v>57</v>
      </c>
      <c r="H41" t="s">
        <v>58</v>
      </c>
      <c r="I41">
        <v>640</v>
      </c>
      <c r="J41">
        <v>640</v>
      </c>
      <c r="K41">
        <v>0</v>
      </c>
      <c r="L41">
        <v>3.62</v>
      </c>
      <c r="M41">
        <v>0</v>
      </c>
      <c r="N41">
        <v>2316.8000000000002</v>
      </c>
      <c r="O41">
        <v>0</v>
      </c>
      <c r="P41">
        <v>2</v>
      </c>
    </row>
    <row r="42" spans="1:16" x14ac:dyDescent="0.35">
      <c r="A42" s="1">
        <v>46303</v>
      </c>
      <c r="B42">
        <v>2026</v>
      </c>
      <c r="C42" t="s">
        <v>16</v>
      </c>
      <c r="D42">
        <v>868</v>
      </c>
      <c r="E42" t="s">
        <v>97</v>
      </c>
      <c r="F42" t="s">
        <v>98</v>
      </c>
      <c r="G42" t="s">
        <v>57</v>
      </c>
      <c r="H42" t="s">
        <v>58</v>
      </c>
      <c r="I42">
        <v>1280</v>
      </c>
      <c r="J42">
        <v>1280</v>
      </c>
      <c r="K42">
        <v>0</v>
      </c>
      <c r="L42">
        <v>3.62</v>
      </c>
      <c r="M42">
        <v>0</v>
      </c>
      <c r="N42">
        <v>4633.6000000000004</v>
      </c>
      <c r="O42">
        <v>0</v>
      </c>
      <c r="P42">
        <v>2</v>
      </c>
    </row>
    <row r="43" spans="1:16" x14ac:dyDescent="0.35">
      <c r="A43" s="1">
        <v>46303</v>
      </c>
      <c r="B43">
        <v>2026</v>
      </c>
      <c r="C43" t="s">
        <v>16</v>
      </c>
      <c r="D43">
        <v>868</v>
      </c>
      <c r="E43" t="s">
        <v>97</v>
      </c>
      <c r="F43" t="s">
        <v>98</v>
      </c>
      <c r="G43" t="s">
        <v>99</v>
      </c>
      <c r="H43" t="s">
        <v>100</v>
      </c>
      <c r="I43">
        <v>20</v>
      </c>
      <c r="J43">
        <v>20</v>
      </c>
      <c r="K43">
        <v>0</v>
      </c>
      <c r="L43">
        <v>3.8</v>
      </c>
      <c r="M43">
        <v>0</v>
      </c>
      <c r="N43">
        <v>76</v>
      </c>
      <c r="O43">
        <v>0</v>
      </c>
      <c r="P43">
        <v>2</v>
      </c>
    </row>
    <row r="44" spans="1:16" x14ac:dyDescent="0.35">
      <c r="A44" s="1">
        <v>46308</v>
      </c>
      <c r="B44">
        <v>2026</v>
      </c>
      <c r="C44" t="s">
        <v>16</v>
      </c>
      <c r="D44">
        <v>869</v>
      </c>
      <c r="E44" t="s">
        <v>101</v>
      </c>
      <c r="F44" t="s">
        <v>102</v>
      </c>
      <c r="G44" t="s">
        <v>103</v>
      </c>
      <c r="H44" t="s">
        <v>104</v>
      </c>
      <c r="I44">
        <v>1100</v>
      </c>
      <c r="J44">
        <v>1100</v>
      </c>
      <c r="K44">
        <v>0</v>
      </c>
      <c r="L44">
        <v>1.77</v>
      </c>
      <c r="M44">
        <v>0</v>
      </c>
      <c r="N44">
        <v>1947</v>
      </c>
      <c r="O44">
        <v>0</v>
      </c>
      <c r="P44">
        <v>2</v>
      </c>
    </row>
    <row r="45" spans="1:16" x14ac:dyDescent="0.35">
      <c r="A45" s="1">
        <v>46308</v>
      </c>
      <c r="B45">
        <v>2026</v>
      </c>
      <c r="C45" t="s">
        <v>16</v>
      </c>
      <c r="D45">
        <v>870</v>
      </c>
      <c r="E45" t="s">
        <v>39</v>
      </c>
      <c r="F45" t="s">
        <v>40</v>
      </c>
      <c r="G45" t="s">
        <v>105</v>
      </c>
      <c r="H45" t="s">
        <v>106</v>
      </c>
      <c r="I45">
        <v>2200</v>
      </c>
      <c r="J45">
        <v>2200</v>
      </c>
      <c r="K45">
        <v>0</v>
      </c>
      <c r="L45">
        <v>1.65</v>
      </c>
      <c r="M45">
        <v>0</v>
      </c>
      <c r="N45">
        <v>3630</v>
      </c>
      <c r="O45">
        <v>0</v>
      </c>
      <c r="P45">
        <v>2</v>
      </c>
    </row>
    <row r="46" spans="1:16" x14ac:dyDescent="0.35">
      <c r="A46" s="1">
        <v>46308</v>
      </c>
      <c r="B46">
        <v>2026</v>
      </c>
      <c r="C46" t="s">
        <v>16</v>
      </c>
      <c r="D46">
        <v>871</v>
      </c>
      <c r="E46" t="s">
        <v>17</v>
      </c>
      <c r="F46" t="s">
        <v>18</v>
      </c>
      <c r="G46" t="s">
        <v>107</v>
      </c>
      <c r="H46" t="s">
        <v>108</v>
      </c>
      <c r="I46">
        <v>640</v>
      </c>
      <c r="J46">
        <v>640</v>
      </c>
      <c r="K46">
        <v>0</v>
      </c>
      <c r="L46">
        <v>5.1100000000000003</v>
      </c>
      <c r="M46">
        <v>0</v>
      </c>
      <c r="N46">
        <v>3270.4</v>
      </c>
      <c r="O46">
        <v>0</v>
      </c>
      <c r="P46">
        <v>2</v>
      </c>
    </row>
    <row r="47" spans="1:16" x14ac:dyDescent="0.35">
      <c r="A47" s="1">
        <v>46308</v>
      </c>
      <c r="B47">
        <v>2026</v>
      </c>
      <c r="C47" t="s">
        <v>16</v>
      </c>
      <c r="D47">
        <v>871</v>
      </c>
      <c r="E47" t="s">
        <v>17</v>
      </c>
      <c r="F47" t="s">
        <v>18</v>
      </c>
      <c r="G47" t="s">
        <v>109</v>
      </c>
      <c r="H47" t="s">
        <v>110</v>
      </c>
      <c r="I47">
        <v>100</v>
      </c>
      <c r="J47">
        <v>100</v>
      </c>
      <c r="K47">
        <v>0</v>
      </c>
      <c r="L47">
        <v>3.6</v>
      </c>
      <c r="M47">
        <v>0</v>
      </c>
      <c r="N47">
        <v>360</v>
      </c>
      <c r="O47">
        <v>0</v>
      </c>
      <c r="P47">
        <v>2</v>
      </c>
    </row>
    <row r="48" spans="1:16" x14ac:dyDescent="0.35">
      <c r="A48" s="1">
        <v>46308</v>
      </c>
      <c r="B48">
        <v>2026</v>
      </c>
      <c r="C48" t="s">
        <v>16</v>
      </c>
      <c r="D48">
        <v>871</v>
      </c>
      <c r="E48" t="s">
        <v>17</v>
      </c>
      <c r="F48" t="s">
        <v>18</v>
      </c>
      <c r="G48" t="s">
        <v>25</v>
      </c>
      <c r="H48" t="s">
        <v>26</v>
      </c>
      <c r="I48">
        <v>200</v>
      </c>
      <c r="J48">
        <v>200</v>
      </c>
      <c r="K48">
        <v>0</v>
      </c>
      <c r="L48">
        <v>5.42</v>
      </c>
      <c r="M48">
        <v>0</v>
      </c>
      <c r="N48">
        <v>1084</v>
      </c>
      <c r="O48">
        <v>0</v>
      </c>
      <c r="P48">
        <v>2</v>
      </c>
    </row>
    <row r="49" spans="1:16" x14ac:dyDescent="0.35">
      <c r="A49" s="1">
        <v>46308</v>
      </c>
      <c r="B49">
        <v>2026</v>
      </c>
      <c r="C49" t="s">
        <v>16</v>
      </c>
      <c r="D49">
        <v>871</v>
      </c>
      <c r="E49" t="s">
        <v>17</v>
      </c>
      <c r="F49" t="s">
        <v>18</v>
      </c>
      <c r="G49" t="s">
        <v>57</v>
      </c>
      <c r="H49" t="s">
        <v>58</v>
      </c>
      <c r="I49">
        <v>1280</v>
      </c>
      <c r="J49">
        <v>1280</v>
      </c>
      <c r="K49">
        <v>0</v>
      </c>
      <c r="L49">
        <v>3.33</v>
      </c>
      <c r="M49">
        <v>0</v>
      </c>
      <c r="N49">
        <v>4262.3999999999996</v>
      </c>
      <c r="O49">
        <v>0</v>
      </c>
      <c r="P49">
        <v>2</v>
      </c>
    </row>
    <row r="50" spans="1:16" x14ac:dyDescent="0.35">
      <c r="A50" s="1">
        <v>46308</v>
      </c>
      <c r="B50">
        <v>2026</v>
      </c>
      <c r="C50" t="s">
        <v>16</v>
      </c>
      <c r="D50">
        <v>872</v>
      </c>
      <c r="E50" t="s">
        <v>17</v>
      </c>
      <c r="F50" t="s">
        <v>18</v>
      </c>
      <c r="G50" t="s">
        <v>23</v>
      </c>
      <c r="H50" t="s">
        <v>24</v>
      </c>
      <c r="I50">
        <v>100</v>
      </c>
      <c r="J50">
        <v>100</v>
      </c>
      <c r="K50">
        <v>0</v>
      </c>
      <c r="L50">
        <v>9.85</v>
      </c>
      <c r="M50">
        <v>0</v>
      </c>
      <c r="N50">
        <v>985</v>
      </c>
      <c r="O50">
        <v>0</v>
      </c>
      <c r="P50">
        <v>2</v>
      </c>
    </row>
    <row r="51" spans="1:16" x14ac:dyDescent="0.35">
      <c r="A51" s="1">
        <v>46308</v>
      </c>
      <c r="B51">
        <v>2026</v>
      </c>
      <c r="C51" t="s">
        <v>16</v>
      </c>
      <c r="D51">
        <v>872</v>
      </c>
      <c r="E51" t="s">
        <v>17</v>
      </c>
      <c r="F51" t="s">
        <v>18</v>
      </c>
      <c r="G51" t="s">
        <v>67</v>
      </c>
      <c r="H51" t="s">
        <v>68</v>
      </c>
      <c r="I51">
        <v>640</v>
      </c>
      <c r="J51">
        <v>640</v>
      </c>
      <c r="K51">
        <v>0</v>
      </c>
      <c r="L51">
        <v>2.2599999999999998</v>
      </c>
      <c r="M51">
        <v>0</v>
      </c>
      <c r="N51">
        <v>1446.4</v>
      </c>
      <c r="O51">
        <v>0</v>
      </c>
      <c r="P51">
        <v>2</v>
      </c>
    </row>
    <row r="52" spans="1:16" x14ac:dyDescent="0.35">
      <c r="A52" s="1">
        <v>46308</v>
      </c>
      <c r="B52">
        <v>2026</v>
      </c>
      <c r="C52" t="s">
        <v>16</v>
      </c>
      <c r="D52">
        <v>873</v>
      </c>
      <c r="E52" t="s">
        <v>111</v>
      </c>
      <c r="F52" t="s">
        <v>112</v>
      </c>
      <c r="G52" t="s">
        <v>113</v>
      </c>
      <c r="H52" t="s">
        <v>114</v>
      </c>
      <c r="I52">
        <v>40</v>
      </c>
      <c r="J52">
        <v>20</v>
      </c>
      <c r="K52">
        <v>20</v>
      </c>
      <c r="L52">
        <v>3.72</v>
      </c>
      <c r="M52">
        <v>0</v>
      </c>
      <c r="N52">
        <v>148.80000000000001</v>
      </c>
      <c r="O52">
        <v>74.400000000000006</v>
      </c>
      <c r="P52">
        <v>0</v>
      </c>
    </row>
    <row r="53" spans="1:16" x14ac:dyDescent="0.35">
      <c r="A53" s="1">
        <v>46308</v>
      </c>
      <c r="B53">
        <v>2026</v>
      </c>
      <c r="C53" t="s">
        <v>16</v>
      </c>
      <c r="D53">
        <v>873</v>
      </c>
      <c r="E53" t="s">
        <v>111</v>
      </c>
      <c r="F53" t="s">
        <v>112</v>
      </c>
      <c r="G53" t="s">
        <v>115</v>
      </c>
      <c r="H53" t="s">
        <v>116</v>
      </c>
      <c r="I53">
        <v>20</v>
      </c>
      <c r="J53">
        <v>20</v>
      </c>
      <c r="K53">
        <v>0</v>
      </c>
      <c r="L53">
        <v>3.32</v>
      </c>
      <c r="M53">
        <v>0</v>
      </c>
      <c r="N53">
        <v>66.400000000000006</v>
      </c>
      <c r="O53">
        <v>0</v>
      </c>
      <c r="P53">
        <v>2</v>
      </c>
    </row>
    <row r="54" spans="1:16" x14ac:dyDescent="0.35">
      <c r="A54" s="1">
        <v>46308</v>
      </c>
      <c r="B54">
        <v>2026</v>
      </c>
      <c r="C54" t="s">
        <v>16</v>
      </c>
      <c r="D54">
        <v>873</v>
      </c>
      <c r="E54" t="s">
        <v>111</v>
      </c>
      <c r="F54" t="s">
        <v>112</v>
      </c>
      <c r="G54" t="s">
        <v>117</v>
      </c>
      <c r="H54" t="s">
        <v>118</v>
      </c>
      <c r="I54">
        <v>2400</v>
      </c>
      <c r="J54">
        <v>2400</v>
      </c>
      <c r="K54">
        <v>0</v>
      </c>
      <c r="L54">
        <v>2.97</v>
      </c>
      <c r="M54">
        <v>0</v>
      </c>
      <c r="N54">
        <v>7128</v>
      </c>
      <c r="O54">
        <v>0</v>
      </c>
      <c r="P54">
        <v>2</v>
      </c>
    </row>
    <row r="55" spans="1:16" x14ac:dyDescent="0.35">
      <c r="A55" s="1">
        <v>46308</v>
      </c>
      <c r="B55">
        <v>2026</v>
      </c>
      <c r="C55" t="s">
        <v>16</v>
      </c>
      <c r="D55">
        <v>873</v>
      </c>
      <c r="E55" t="s">
        <v>111</v>
      </c>
      <c r="F55" t="s">
        <v>112</v>
      </c>
      <c r="G55" t="s">
        <v>57</v>
      </c>
      <c r="H55" t="s">
        <v>58</v>
      </c>
      <c r="I55">
        <v>640</v>
      </c>
      <c r="J55">
        <v>640</v>
      </c>
      <c r="K55">
        <v>0</v>
      </c>
      <c r="L55">
        <v>3.06</v>
      </c>
      <c r="M55">
        <v>0</v>
      </c>
      <c r="N55">
        <v>1958.4</v>
      </c>
      <c r="O55">
        <v>0</v>
      </c>
      <c r="P55">
        <v>2</v>
      </c>
    </row>
    <row r="56" spans="1:16" x14ac:dyDescent="0.35">
      <c r="A56" s="1">
        <v>46308</v>
      </c>
      <c r="B56">
        <v>2026</v>
      </c>
      <c r="C56" t="s">
        <v>16</v>
      </c>
      <c r="D56">
        <v>873</v>
      </c>
      <c r="E56" t="s">
        <v>111</v>
      </c>
      <c r="F56" t="s">
        <v>112</v>
      </c>
      <c r="G56" t="s">
        <v>119</v>
      </c>
      <c r="H56" t="s">
        <v>120</v>
      </c>
      <c r="I56">
        <v>80</v>
      </c>
      <c r="J56">
        <v>80</v>
      </c>
      <c r="K56">
        <v>0</v>
      </c>
      <c r="L56">
        <v>3.66</v>
      </c>
      <c r="M56">
        <v>3</v>
      </c>
      <c r="N56">
        <v>284.02</v>
      </c>
      <c r="O56">
        <v>0</v>
      </c>
      <c r="P56">
        <v>2</v>
      </c>
    </row>
    <row r="57" spans="1:16" x14ac:dyDescent="0.35">
      <c r="A57" s="1">
        <v>46308</v>
      </c>
      <c r="B57">
        <v>2026</v>
      </c>
      <c r="C57" t="s">
        <v>16</v>
      </c>
      <c r="D57">
        <v>873</v>
      </c>
      <c r="E57" t="s">
        <v>111</v>
      </c>
      <c r="F57" t="s">
        <v>112</v>
      </c>
      <c r="G57" t="s">
        <v>119</v>
      </c>
      <c r="H57" t="s">
        <v>120</v>
      </c>
      <c r="I57">
        <v>20</v>
      </c>
      <c r="J57">
        <v>20</v>
      </c>
      <c r="K57">
        <v>0</v>
      </c>
      <c r="L57">
        <v>3.66</v>
      </c>
      <c r="M57">
        <v>0</v>
      </c>
      <c r="N57">
        <v>73.2</v>
      </c>
      <c r="O57">
        <v>0</v>
      </c>
      <c r="P57">
        <v>2</v>
      </c>
    </row>
    <row r="58" spans="1:16" x14ac:dyDescent="0.35">
      <c r="A58" s="1">
        <v>46308</v>
      </c>
      <c r="B58">
        <v>2026</v>
      </c>
      <c r="C58" t="s">
        <v>16</v>
      </c>
      <c r="D58">
        <v>873</v>
      </c>
      <c r="E58" t="s">
        <v>111</v>
      </c>
      <c r="F58" t="s">
        <v>112</v>
      </c>
      <c r="G58" t="s">
        <v>105</v>
      </c>
      <c r="H58" t="s">
        <v>106</v>
      </c>
      <c r="I58">
        <v>1100</v>
      </c>
      <c r="J58">
        <v>1100</v>
      </c>
      <c r="K58">
        <v>0</v>
      </c>
      <c r="L58">
        <v>1.64</v>
      </c>
      <c r="M58">
        <v>0</v>
      </c>
      <c r="N58">
        <v>1804</v>
      </c>
      <c r="O58">
        <v>0</v>
      </c>
      <c r="P58">
        <v>2</v>
      </c>
    </row>
    <row r="59" spans="1:16" x14ac:dyDescent="0.35">
      <c r="A59" s="1">
        <v>46308</v>
      </c>
      <c r="B59">
        <v>2026</v>
      </c>
      <c r="C59" t="s">
        <v>16</v>
      </c>
      <c r="D59">
        <v>874</v>
      </c>
      <c r="E59" t="s">
        <v>121</v>
      </c>
      <c r="F59" t="s">
        <v>122</v>
      </c>
      <c r="G59" t="s">
        <v>123</v>
      </c>
      <c r="H59" t="s">
        <v>124</v>
      </c>
      <c r="I59">
        <v>3000</v>
      </c>
      <c r="J59">
        <v>3000</v>
      </c>
      <c r="K59">
        <v>0</v>
      </c>
      <c r="L59">
        <v>2.21</v>
      </c>
      <c r="M59">
        <v>0</v>
      </c>
      <c r="N59">
        <v>6630</v>
      </c>
      <c r="O59">
        <v>0</v>
      </c>
      <c r="P59">
        <v>2</v>
      </c>
    </row>
    <row r="60" spans="1:16" x14ac:dyDescent="0.35">
      <c r="A60" s="1">
        <v>46309</v>
      </c>
      <c r="B60">
        <v>2026</v>
      </c>
      <c r="C60" t="s">
        <v>16</v>
      </c>
      <c r="D60">
        <v>875</v>
      </c>
      <c r="E60" t="s">
        <v>125</v>
      </c>
      <c r="F60" t="s">
        <v>126</v>
      </c>
      <c r="G60" t="s">
        <v>107</v>
      </c>
      <c r="H60" t="s">
        <v>108</v>
      </c>
      <c r="I60">
        <v>340</v>
      </c>
      <c r="J60">
        <v>340</v>
      </c>
      <c r="K60">
        <v>0</v>
      </c>
      <c r="L60">
        <v>5.33</v>
      </c>
      <c r="M60">
        <v>0</v>
      </c>
      <c r="N60">
        <v>1812.2</v>
      </c>
      <c r="O60">
        <v>0</v>
      </c>
      <c r="P60">
        <v>2</v>
      </c>
    </row>
    <row r="61" spans="1:16" x14ac:dyDescent="0.35">
      <c r="A61" s="1">
        <v>46309</v>
      </c>
      <c r="B61">
        <v>2026</v>
      </c>
      <c r="C61" t="s">
        <v>16</v>
      </c>
      <c r="D61">
        <v>875</v>
      </c>
      <c r="E61" t="s">
        <v>125</v>
      </c>
      <c r="F61" t="s">
        <v>126</v>
      </c>
      <c r="G61" t="s">
        <v>107</v>
      </c>
      <c r="H61" t="s">
        <v>108</v>
      </c>
      <c r="I61">
        <v>300</v>
      </c>
      <c r="J61">
        <v>300</v>
      </c>
      <c r="K61">
        <v>0</v>
      </c>
      <c r="L61">
        <v>5.33</v>
      </c>
      <c r="M61">
        <v>0</v>
      </c>
      <c r="N61">
        <v>1599</v>
      </c>
      <c r="O61">
        <v>0</v>
      </c>
      <c r="P61">
        <v>2</v>
      </c>
    </row>
    <row r="62" spans="1:16" x14ac:dyDescent="0.35">
      <c r="A62" s="1">
        <v>46309</v>
      </c>
      <c r="B62">
        <v>2026</v>
      </c>
      <c r="C62" t="s">
        <v>16</v>
      </c>
      <c r="D62">
        <v>875</v>
      </c>
      <c r="E62" t="s">
        <v>125</v>
      </c>
      <c r="F62" t="s">
        <v>126</v>
      </c>
      <c r="G62" t="s">
        <v>25</v>
      </c>
      <c r="H62" t="s">
        <v>26</v>
      </c>
      <c r="I62">
        <v>600</v>
      </c>
      <c r="J62">
        <v>600</v>
      </c>
      <c r="K62">
        <v>0</v>
      </c>
      <c r="L62">
        <v>5.66</v>
      </c>
      <c r="M62">
        <v>0</v>
      </c>
      <c r="N62">
        <v>3396</v>
      </c>
      <c r="O62">
        <v>0</v>
      </c>
      <c r="P62">
        <v>2</v>
      </c>
    </row>
    <row r="63" spans="1:16" x14ac:dyDescent="0.35">
      <c r="A63" s="1">
        <v>46309</v>
      </c>
      <c r="B63">
        <v>2026</v>
      </c>
      <c r="C63" t="s">
        <v>16</v>
      </c>
      <c r="D63">
        <v>875</v>
      </c>
      <c r="E63" t="s">
        <v>125</v>
      </c>
      <c r="F63" t="s">
        <v>126</v>
      </c>
      <c r="G63" t="s">
        <v>127</v>
      </c>
      <c r="H63" t="s">
        <v>128</v>
      </c>
      <c r="I63">
        <v>600</v>
      </c>
      <c r="J63">
        <v>600</v>
      </c>
      <c r="K63">
        <v>0</v>
      </c>
      <c r="L63">
        <v>3.62</v>
      </c>
      <c r="M63">
        <v>0</v>
      </c>
      <c r="N63">
        <v>2172</v>
      </c>
      <c r="O63">
        <v>0</v>
      </c>
      <c r="P63">
        <v>2</v>
      </c>
    </row>
    <row r="64" spans="1:16" x14ac:dyDescent="0.35">
      <c r="A64" s="1">
        <v>46309</v>
      </c>
      <c r="B64">
        <v>2026</v>
      </c>
      <c r="C64" t="s">
        <v>16</v>
      </c>
      <c r="D64">
        <v>875</v>
      </c>
      <c r="E64" t="s">
        <v>125</v>
      </c>
      <c r="F64" t="s">
        <v>126</v>
      </c>
      <c r="G64" t="s">
        <v>65</v>
      </c>
      <c r="H64" t="s">
        <v>66</v>
      </c>
      <c r="I64">
        <v>300</v>
      </c>
      <c r="J64">
        <v>300</v>
      </c>
      <c r="K64">
        <v>0</v>
      </c>
      <c r="L64">
        <v>11.03</v>
      </c>
      <c r="M64">
        <v>0</v>
      </c>
      <c r="N64">
        <v>3309</v>
      </c>
      <c r="O64">
        <v>0</v>
      </c>
      <c r="P64">
        <v>2</v>
      </c>
    </row>
    <row r="65" spans="1:16" x14ac:dyDescent="0.35">
      <c r="A65" s="1">
        <v>46309</v>
      </c>
      <c r="B65">
        <v>2026</v>
      </c>
      <c r="C65" t="s">
        <v>16</v>
      </c>
      <c r="D65">
        <v>875</v>
      </c>
      <c r="E65" t="s">
        <v>125</v>
      </c>
      <c r="F65" t="s">
        <v>126</v>
      </c>
      <c r="G65" t="s">
        <v>129</v>
      </c>
      <c r="H65" t="s">
        <v>130</v>
      </c>
      <c r="I65">
        <v>100</v>
      </c>
      <c r="J65">
        <v>100</v>
      </c>
      <c r="K65">
        <v>0</v>
      </c>
      <c r="L65">
        <v>5.47</v>
      </c>
      <c r="M65">
        <v>0</v>
      </c>
      <c r="N65">
        <v>547</v>
      </c>
      <c r="O65">
        <v>0</v>
      </c>
      <c r="P65">
        <v>2</v>
      </c>
    </row>
    <row r="66" spans="1:16" x14ac:dyDescent="0.35">
      <c r="A66" s="1">
        <v>46309</v>
      </c>
      <c r="B66">
        <v>2026</v>
      </c>
      <c r="C66" t="s">
        <v>16</v>
      </c>
      <c r="D66">
        <v>876</v>
      </c>
      <c r="E66" t="s">
        <v>131</v>
      </c>
      <c r="F66" t="s">
        <v>132</v>
      </c>
      <c r="G66" t="s">
        <v>57</v>
      </c>
      <c r="H66" t="s">
        <v>58</v>
      </c>
      <c r="I66">
        <v>640</v>
      </c>
      <c r="J66">
        <v>640</v>
      </c>
      <c r="K66">
        <v>0</v>
      </c>
      <c r="L66">
        <v>3.17</v>
      </c>
      <c r="M66">
        <v>0</v>
      </c>
      <c r="N66">
        <v>2028.8</v>
      </c>
      <c r="O66">
        <v>0</v>
      </c>
      <c r="P66">
        <v>2</v>
      </c>
    </row>
    <row r="67" spans="1:16" x14ac:dyDescent="0.35">
      <c r="A67" s="1">
        <v>46309</v>
      </c>
      <c r="B67">
        <v>2026</v>
      </c>
      <c r="C67" t="s">
        <v>16</v>
      </c>
      <c r="D67">
        <v>877</v>
      </c>
      <c r="E67" t="s">
        <v>133</v>
      </c>
      <c r="F67" t="s">
        <v>134</v>
      </c>
      <c r="G67" t="s">
        <v>123</v>
      </c>
      <c r="H67" t="s">
        <v>124</v>
      </c>
      <c r="I67">
        <v>1000</v>
      </c>
      <c r="J67">
        <v>1000</v>
      </c>
      <c r="K67">
        <v>0</v>
      </c>
      <c r="L67">
        <v>1.97</v>
      </c>
      <c r="M67">
        <v>0</v>
      </c>
      <c r="N67">
        <v>1970</v>
      </c>
      <c r="O67">
        <v>0</v>
      </c>
      <c r="P67">
        <v>2</v>
      </c>
    </row>
    <row r="68" spans="1:16" x14ac:dyDescent="0.35">
      <c r="A68" s="1">
        <v>46309</v>
      </c>
      <c r="B68">
        <v>2026</v>
      </c>
      <c r="C68" t="s">
        <v>16</v>
      </c>
      <c r="D68">
        <v>878</v>
      </c>
      <c r="E68" t="s">
        <v>135</v>
      </c>
      <c r="F68" t="s">
        <v>136</v>
      </c>
      <c r="G68" t="s">
        <v>73</v>
      </c>
      <c r="H68" t="s">
        <v>74</v>
      </c>
      <c r="I68">
        <v>640</v>
      </c>
      <c r="J68">
        <v>640</v>
      </c>
      <c r="K68">
        <v>0</v>
      </c>
      <c r="L68">
        <v>3.81</v>
      </c>
      <c r="M68">
        <v>0</v>
      </c>
      <c r="N68">
        <v>2438.4</v>
      </c>
      <c r="O68">
        <v>0</v>
      </c>
      <c r="P68">
        <v>2</v>
      </c>
    </row>
    <row r="69" spans="1:16" x14ac:dyDescent="0.35">
      <c r="A69" s="1">
        <v>46309</v>
      </c>
      <c r="B69">
        <v>2026</v>
      </c>
      <c r="C69" t="s">
        <v>16</v>
      </c>
      <c r="D69">
        <v>879</v>
      </c>
      <c r="E69" t="s">
        <v>137</v>
      </c>
      <c r="F69" t="s">
        <v>138</v>
      </c>
      <c r="G69" t="s">
        <v>139</v>
      </c>
      <c r="H69" t="s">
        <v>140</v>
      </c>
      <c r="I69">
        <v>1000</v>
      </c>
      <c r="J69">
        <v>1000</v>
      </c>
      <c r="K69">
        <v>0</v>
      </c>
      <c r="L69">
        <v>3</v>
      </c>
      <c r="M69">
        <v>0</v>
      </c>
      <c r="N69">
        <v>3000</v>
      </c>
      <c r="O69">
        <v>0</v>
      </c>
      <c r="P69">
        <v>2</v>
      </c>
    </row>
    <row r="70" spans="1:16" x14ac:dyDescent="0.35">
      <c r="A70" s="1">
        <v>46309</v>
      </c>
      <c r="B70">
        <v>2026</v>
      </c>
      <c r="C70" t="s">
        <v>76</v>
      </c>
      <c r="D70">
        <v>145</v>
      </c>
      <c r="E70" t="s">
        <v>141</v>
      </c>
      <c r="F70" t="s">
        <v>142</v>
      </c>
      <c r="G70" t="s">
        <v>107</v>
      </c>
      <c r="H70" t="s">
        <v>108</v>
      </c>
      <c r="I70">
        <v>2000</v>
      </c>
      <c r="J70">
        <v>0</v>
      </c>
      <c r="K70">
        <v>2000</v>
      </c>
      <c r="L70">
        <v>4.3099999999999996</v>
      </c>
      <c r="M70">
        <v>0</v>
      </c>
      <c r="N70">
        <v>8620</v>
      </c>
      <c r="O70">
        <v>8620</v>
      </c>
      <c r="P70">
        <v>0</v>
      </c>
    </row>
    <row r="71" spans="1:16" x14ac:dyDescent="0.35">
      <c r="A71" s="1">
        <v>46309</v>
      </c>
      <c r="B71">
        <v>2026</v>
      </c>
      <c r="C71" t="s">
        <v>76</v>
      </c>
      <c r="D71">
        <v>145</v>
      </c>
      <c r="E71" t="s">
        <v>141</v>
      </c>
      <c r="F71" t="s">
        <v>142</v>
      </c>
      <c r="G71" t="s">
        <v>143</v>
      </c>
      <c r="H71" t="s">
        <v>144</v>
      </c>
      <c r="I71">
        <v>1500</v>
      </c>
      <c r="J71">
        <v>0</v>
      </c>
      <c r="K71">
        <v>1500</v>
      </c>
      <c r="L71">
        <v>4.1399999999999997</v>
      </c>
      <c r="M71">
        <v>0</v>
      </c>
      <c r="N71">
        <v>6210</v>
      </c>
      <c r="O71">
        <v>6210</v>
      </c>
      <c r="P71">
        <v>0</v>
      </c>
    </row>
    <row r="72" spans="1:16" x14ac:dyDescent="0.35">
      <c r="A72" s="1">
        <v>46309</v>
      </c>
      <c r="B72">
        <v>2026</v>
      </c>
      <c r="C72" t="s">
        <v>76</v>
      </c>
      <c r="D72">
        <v>145</v>
      </c>
      <c r="E72" t="s">
        <v>141</v>
      </c>
      <c r="F72" t="s">
        <v>142</v>
      </c>
      <c r="G72" t="s">
        <v>145</v>
      </c>
      <c r="H72" t="s">
        <v>74</v>
      </c>
      <c r="I72">
        <v>3000</v>
      </c>
      <c r="J72">
        <v>0</v>
      </c>
      <c r="K72">
        <v>3000</v>
      </c>
      <c r="L72">
        <v>3.05</v>
      </c>
      <c r="M72">
        <v>0</v>
      </c>
      <c r="N72">
        <v>9150</v>
      </c>
      <c r="O72">
        <v>9150</v>
      </c>
      <c r="P72">
        <v>0</v>
      </c>
    </row>
    <row r="73" spans="1:16" x14ac:dyDescent="0.35">
      <c r="A73" s="1">
        <v>46309</v>
      </c>
      <c r="B73">
        <v>2026</v>
      </c>
      <c r="C73" t="s">
        <v>76</v>
      </c>
      <c r="D73">
        <v>145</v>
      </c>
      <c r="E73" t="s">
        <v>141</v>
      </c>
      <c r="F73" t="s">
        <v>142</v>
      </c>
      <c r="G73" t="s">
        <v>146</v>
      </c>
      <c r="H73" t="s">
        <v>147</v>
      </c>
      <c r="I73">
        <v>1000</v>
      </c>
      <c r="J73">
        <v>0</v>
      </c>
      <c r="K73">
        <v>1000</v>
      </c>
      <c r="L73">
        <v>3.57</v>
      </c>
      <c r="M73">
        <v>0</v>
      </c>
      <c r="N73">
        <v>3570</v>
      </c>
      <c r="O73">
        <v>3570</v>
      </c>
      <c r="P73">
        <v>0</v>
      </c>
    </row>
    <row r="74" spans="1:16" x14ac:dyDescent="0.35">
      <c r="A74" s="1">
        <v>46309</v>
      </c>
      <c r="B74">
        <v>2026</v>
      </c>
      <c r="C74" t="s">
        <v>76</v>
      </c>
      <c r="D74">
        <v>145</v>
      </c>
      <c r="E74" t="s">
        <v>141</v>
      </c>
      <c r="F74" t="s">
        <v>142</v>
      </c>
      <c r="G74" t="s">
        <v>148</v>
      </c>
      <c r="H74" t="s">
        <v>149</v>
      </c>
      <c r="I74">
        <v>600</v>
      </c>
      <c r="J74">
        <v>0</v>
      </c>
      <c r="K74">
        <v>600</v>
      </c>
      <c r="L74">
        <v>3.13</v>
      </c>
      <c r="M74">
        <v>0</v>
      </c>
      <c r="N74">
        <v>1878</v>
      </c>
      <c r="O74">
        <v>1878</v>
      </c>
      <c r="P74">
        <v>0</v>
      </c>
    </row>
    <row r="75" spans="1:16" x14ac:dyDescent="0.35">
      <c r="A75" s="1">
        <v>46309</v>
      </c>
      <c r="B75">
        <v>2026</v>
      </c>
      <c r="C75" t="s">
        <v>76</v>
      </c>
      <c r="D75">
        <v>145</v>
      </c>
      <c r="E75" t="s">
        <v>141</v>
      </c>
      <c r="F75" t="s">
        <v>142</v>
      </c>
      <c r="G75" t="s">
        <v>150</v>
      </c>
      <c r="H75" t="s">
        <v>50</v>
      </c>
      <c r="I75">
        <v>2000</v>
      </c>
      <c r="J75">
        <v>0</v>
      </c>
      <c r="K75">
        <v>2000</v>
      </c>
      <c r="L75">
        <v>3.55</v>
      </c>
      <c r="M75">
        <v>0</v>
      </c>
      <c r="N75">
        <v>7100</v>
      </c>
      <c r="O75">
        <v>7100</v>
      </c>
      <c r="P75">
        <v>0</v>
      </c>
    </row>
    <row r="76" spans="1:16" x14ac:dyDescent="0.35">
      <c r="A76" s="1">
        <v>46309</v>
      </c>
      <c r="B76">
        <v>2026</v>
      </c>
      <c r="C76" t="s">
        <v>76</v>
      </c>
      <c r="D76">
        <v>145</v>
      </c>
      <c r="E76" t="s">
        <v>141</v>
      </c>
      <c r="F76" t="s">
        <v>142</v>
      </c>
      <c r="G76" t="s">
        <v>151</v>
      </c>
      <c r="H76" t="s">
        <v>152</v>
      </c>
      <c r="I76">
        <v>800</v>
      </c>
      <c r="J76">
        <v>0</v>
      </c>
      <c r="K76">
        <v>800</v>
      </c>
      <c r="L76">
        <v>2.12</v>
      </c>
      <c r="M76">
        <v>0</v>
      </c>
      <c r="N76">
        <v>1696</v>
      </c>
      <c r="O76">
        <v>1696</v>
      </c>
      <c r="P76">
        <v>0</v>
      </c>
    </row>
    <row r="77" spans="1:16" x14ac:dyDescent="0.35">
      <c r="A77" s="1">
        <v>46309</v>
      </c>
      <c r="B77">
        <v>2026</v>
      </c>
      <c r="C77" t="s">
        <v>76</v>
      </c>
      <c r="D77">
        <v>145</v>
      </c>
      <c r="E77" t="s">
        <v>141</v>
      </c>
      <c r="F77" t="s">
        <v>142</v>
      </c>
      <c r="G77" t="s">
        <v>153</v>
      </c>
      <c r="H77" t="s">
        <v>58</v>
      </c>
      <c r="I77">
        <v>7000</v>
      </c>
      <c r="J77">
        <v>0</v>
      </c>
      <c r="K77">
        <v>7000</v>
      </c>
      <c r="L77">
        <v>2.76</v>
      </c>
      <c r="M77">
        <v>0</v>
      </c>
      <c r="N77">
        <v>19320</v>
      </c>
      <c r="O77">
        <v>19320</v>
      </c>
      <c r="P77">
        <v>0</v>
      </c>
    </row>
    <row r="78" spans="1:16" x14ac:dyDescent="0.35">
      <c r="A78" s="1">
        <v>46309</v>
      </c>
      <c r="B78">
        <v>2026</v>
      </c>
      <c r="C78" t="s">
        <v>76</v>
      </c>
      <c r="D78">
        <v>146</v>
      </c>
      <c r="E78" t="s">
        <v>77</v>
      </c>
      <c r="F78" t="s">
        <v>78</v>
      </c>
      <c r="G78" t="s">
        <v>154</v>
      </c>
      <c r="H78" t="s">
        <v>155</v>
      </c>
      <c r="I78">
        <v>8000</v>
      </c>
      <c r="J78">
        <v>0</v>
      </c>
      <c r="K78">
        <v>8000</v>
      </c>
      <c r="L78">
        <v>3.87</v>
      </c>
      <c r="M78">
        <v>0</v>
      </c>
      <c r="N78">
        <v>30960</v>
      </c>
      <c r="O78">
        <v>30960</v>
      </c>
      <c r="P78">
        <v>0</v>
      </c>
    </row>
    <row r="79" spans="1:16" x14ac:dyDescent="0.35">
      <c r="A79" s="1">
        <v>46309</v>
      </c>
      <c r="B79">
        <v>2026</v>
      </c>
      <c r="C79" t="s">
        <v>76</v>
      </c>
      <c r="D79">
        <v>146</v>
      </c>
      <c r="E79" t="s">
        <v>77</v>
      </c>
      <c r="F79" t="s">
        <v>78</v>
      </c>
      <c r="G79" t="s">
        <v>156</v>
      </c>
      <c r="H79" t="s">
        <v>157</v>
      </c>
      <c r="I79">
        <v>10296</v>
      </c>
      <c r="J79">
        <v>0</v>
      </c>
      <c r="K79">
        <v>10296</v>
      </c>
      <c r="L79">
        <v>12.55</v>
      </c>
      <c r="M79">
        <v>0</v>
      </c>
      <c r="N79">
        <v>129214.8</v>
      </c>
      <c r="O79">
        <v>129214.8</v>
      </c>
      <c r="P79">
        <v>0</v>
      </c>
    </row>
    <row r="80" spans="1:16" x14ac:dyDescent="0.35">
      <c r="A80" s="1">
        <v>46310</v>
      </c>
      <c r="B80">
        <v>2026</v>
      </c>
      <c r="C80" t="s">
        <v>16</v>
      </c>
      <c r="D80">
        <v>880</v>
      </c>
      <c r="E80" t="s">
        <v>158</v>
      </c>
      <c r="F80" t="s">
        <v>159</v>
      </c>
      <c r="G80" t="s">
        <v>160</v>
      </c>
      <c r="H80" t="s">
        <v>161</v>
      </c>
      <c r="I80">
        <v>12</v>
      </c>
      <c r="J80">
        <v>12</v>
      </c>
      <c r="K80">
        <v>0</v>
      </c>
      <c r="L80">
        <v>4.58</v>
      </c>
      <c r="M80">
        <v>0</v>
      </c>
      <c r="N80">
        <v>54.96</v>
      </c>
      <c r="O80">
        <v>0</v>
      </c>
      <c r="P80">
        <v>2</v>
      </c>
    </row>
    <row r="81" spans="1:16" x14ac:dyDescent="0.35">
      <c r="A81" s="1">
        <v>46310</v>
      </c>
      <c r="B81">
        <v>2026</v>
      </c>
      <c r="C81" t="s">
        <v>16</v>
      </c>
      <c r="D81">
        <v>880</v>
      </c>
      <c r="E81" t="s">
        <v>158</v>
      </c>
      <c r="F81" t="s">
        <v>159</v>
      </c>
      <c r="G81" t="s">
        <v>162</v>
      </c>
      <c r="H81" t="s">
        <v>163</v>
      </c>
      <c r="I81">
        <v>200</v>
      </c>
      <c r="J81">
        <v>200</v>
      </c>
      <c r="K81">
        <v>0</v>
      </c>
      <c r="L81">
        <v>4.09</v>
      </c>
      <c r="M81">
        <v>0</v>
      </c>
      <c r="N81">
        <v>818</v>
      </c>
      <c r="O81">
        <v>0</v>
      </c>
      <c r="P81">
        <v>2</v>
      </c>
    </row>
    <row r="82" spans="1:16" x14ac:dyDescent="0.35">
      <c r="A82" s="1">
        <v>46310</v>
      </c>
      <c r="B82">
        <v>2026</v>
      </c>
      <c r="C82" t="s">
        <v>16</v>
      </c>
      <c r="D82">
        <v>880</v>
      </c>
      <c r="E82" t="s">
        <v>158</v>
      </c>
      <c r="F82" t="s">
        <v>159</v>
      </c>
      <c r="G82" t="s">
        <v>73</v>
      </c>
      <c r="H82" t="s">
        <v>74</v>
      </c>
      <c r="I82">
        <v>100</v>
      </c>
      <c r="J82">
        <v>100</v>
      </c>
      <c r="K82">
        <v>0</v>
      </c>
      <c r="L82">
        <v>3.25</v>
      </c>
      <c r="M82">
        <v>0</v>
      </c>
      <c r="N82">
        <v>325</v>
      </c>
      <c r="O82">
        <v>0</v>
      </c>
      <c r="P82">
        <v>2</v>
      </c>
    </row>
    <row r="83" spans="1:16" x14ac:dyDescent="0.35">
      <c r="A83" s="1">
        <v>46310</v>
      </c>
      <c r="B83">
        <v>2026</v>
      </c>
      <c r="C83" t="s">
        <v>16</v>
      </c>
      <c r="D83">
        <v>880</v>
      </c>
      <c r="E83" t="s">
        <v>158</v>
      </c>
      <c r="F83" t="s">
        <v>159</v>
      </c>
      <c r="G83" t="s">
        <v>164</v>
      </c>
      <c r="H83" t="s">
        <v>165</v>
      </c>
      <c r="I83">
        <v>140</v>
      </c>
      <c r="J83">
        <v>140</v>
      </c>
      <c r="K83">
        <v>0</v>
      </c>
      <c r="L83">
        <v>0</v>
      </c>
      <c r="M83">
        <v>0</v>
      </c>
      <c r="N83">
        <v>0</v>
      </c>
      <c r="O83">
        <v>0</v>
      </c>
      <c r="P83">
        <v>2</v>
      </c>
    </row>
    <row r="84" spans="1:16" x14ac:dyDescent="0.35">
      <c r="A84" s="1">
        <v>46310</v>
      </c>
      <c r="B84">
        <v>2026</v>
      </c>
      <c r="C84" t="s">
        <v>16</v>
      </c>
      <c r="D84">
        <v>880</v>
      </c>
      <c r="E84" t="s">
        <v>158</v>
      </c>
      <c r="F84" t="s">
        <v>159</v>
      </c>
      <c r="G84" t="s">
        <v>53</v>
      </c>
      <c r="H84" t="s">
        <v>54</v>
      </c>
      <c r="I84">
        <v>100</v>
      </c>
      <c r="J84">
        <v>100</v>
      </c>
      <c r="K84">
        <v>0</v>
      </c>
      <c r="L84">
        <v>3.52</v>
      </c>
      <c r="M84">
        <v>0</v>
      </c>
      <c r="N84">
        <v>352</v>
      </c>
      <c r="O84">
        <v>0</v>
      </c>
      <c r="P84">
        <v>2</v>
      </c>
    </row>
    <row r="85" spans="1:16" x14ac:dyDescent="0.35">
      <c r="A85" s="1">
        <v>46310</v>
      </c>
      <c r="B85">
        <v>2026</v>
      </c>
      <c r="C85" t="s">
        <v>16</v>
      </c>
      <c r="D85">
        <v>880</v>
      </c>
      <c r="E85" t="s">
        <v>158</v>
      </c>
      <c r="F85" t="s">
        <v>159</v>
      </c>
      <c r="G85" t="s">
        <v>160</v>
      </c>
      <c r="H85" t="s">
        <v>161</v>
      </c>
      <c r="I85">
        <v>12</v>
      </c>
      <c r="J85">
        <v>12</v>
      </c>
      <c r="K85">
        <v>0</v>
      </c>
      <c r="L85">
        <v>4.58</v>
      </c>
      <c r="M85">
        <v>0</v>
      </c>
      <c r="N85">
        <v>54.96</v>
      </c>
      <c r="O85">
        <v>0</v>
      </c>
      <c r="P85">
        <v>2</v>
      </c>
    </row>
    <row r="86" spans="1:16" x14ac:dyDescent="0.35">
      <c r="A86" s="1">
        <v>46310</v>
      </c>
      <c r="B86">
        <v>2026</v>
      </c>
      <c r="C86" t="s">
        <v>16</v>
      </c>
      <c r="D86">
        <v>880</v>
      </c>
      <c r="E86" t="s">
        <v>158</v>
      </c>
      <c r="F86" t="s">
        <v>159</v>
      </c>
      <c r="G86" t="s">
        <v>166</v>
      </c>
      <c r="H86" t="s">
        <v>167</v>
      </c>
      <c r="I86">
        <v>40</v>
      </c>
      <c r="J86">
        <v>40</v>
      </c>
      <c r="K86">
        <v>0</v>
      </c>
      <c r="L86">
        <v>11.6</v>
      </c>
      <c r="M86">
        <v>0</v>
      </c>
      <c r="N86">
        <v>464</v>
      </c>
      <c r="O86">
        <v>0</v>
      </c>
      <c r="P86">
        <v>2</v>
      </c>
    </row>
    <row r="87" spans="1:16" x14ac:dyDescent="0.35">
      <c r="A87" s="1">
        <v>46310</v>
      </c>
      <c r="B87">
        <v>2026</v>
      </c>
      <c r="C87" t="s">
        <v>16</v>
      </c>
      <c r="D87">
        <v>881</v>
      </c>
      <c r="E87" t="s">
        <v>125</v>
      </c>
      <c r="F87" t="s">
        <v>126</v>
      </c>
      <c r="G87" t="s">
        <v>57</v>
      </c>
      <c r="H87" t="s">
        <v>58</v>
      </c>
      <c r="I87">
        <v>640</v>
      </c>
      <c r="J87">
        <v>640</v>
      </c>
      <c r="K87">
        <v>0</v>
      </c>
      <c r="L87">
        <v>3.48</v>
      </c>
      <c r="M87">
        <v>0</v>
      </c>
      <c r="N87">
        <v>2227.1999999999998</v>
      </c>
      <c r="O87">
        <v>0</v>
      </c>
      <c r="P87">
        <v>2</v>
      </c>
    </row>
    <row r="88" spans="1:16" x14ac:dyDescent="0.35">
      <c r="A88" s="1">
        <v>46310</v>
      </c>
      <c r="B88">
        <v>2026</v>
      </c>
      <c r="C88" t="s">
        <v>16</v>
      </c>
      <c r="D88">
        <v>881</v>
      </c>
      <c r="E88" t="s">
        <v>125</v>
      </c>
      <c r="F88" t="s">
        <v>126</v>
      </c>
      <c r="G88" t="s">
        <v>168</v>
      </c>
      <c r="H88" t="s">
        <v>169</v>
      </c>
      <c r="I88">
        <v>100</v>
      </c>
      <c r="J88">
        <v>100</v>
      </c>
      <c r="K88">
        <v>0</v>
      </c>
      <c r="L88">
        <v>4.5</v>
      </c>
      <c r="M88">
        <v>0</v>
      </c>
      <c r="N88">
        <v>450</v>
      </c>
      <c r="O88">
        <v>0</v>
      </c>
      <c r="P88">
        <v>2</v>
      </c>
    </row>
    <row r="89" spans="1:16" x14ac:dyDescent="0.35">
      <c r="A89" s="1">
        <v>46310</v>
      </c>
      <c r="B89">
        <v>2026</v>
      </c>
      <c r="C89" t="s">
        <v>16</v>
      </c>
      <c r="D89">
        <v>881</v>
      </c>
      <c r="E89" t="s">
        <v>125</v>
      </c>
      <c r="F89" t="s">
        <v>126</v>
      </c>
      <c r="G89" t="s">
        <v>170</v>
      </c>
      <c r="H89" t="s">
        <v>171</v>
      </c>
      <c r="I89">
        <v>120</v>
      </c>
      <c r="J89">
        <v>120</v>
      </c>
      <c r="K89">
        <v>0</v>
      </c>
      <c r="L89">
        <v>4.1500000000000004</v>
      </c>
      <c r="M89">
        <v>0</v>
      </c>
      <c r="N89">
        <v>498</v>
      </c>
      <c r="O89">
        <v>0</v>
      </c>
      <c r="P89">
        <v>2</v>
      </c>
    </row>
    <row r="90" spans="1:16" x14ac:dyDescent="0.35">
      <c r="A90" s="1">
        <v>46310</v>
      </c>
      <c r="B90">
        <v>2026</v>
      </c>
      <c r="C90" t="s">
        <v>16</v>
      </c>
      <c r="D90">
        <v>882</v>
      </c>
      <c r="E90" t="s">
        <v>172</v>
      </c>
      <c r="F90" t="s">
        <v>173</v>
      </c>
      <c r="G90" t="s">
        <v>57</v>
      </c>
      <c r="H90" t="s">
        <v>58</v>
      </c>
      <c r="I90">
        <v>640</v>
      </c>
      <c r="J90">
        <v>640</v>
      </c>
      <c r="K90">
        <v>0</v>
      </c>
      <c r="L90">
        <v>3.48</v>
      </c>
      <c r="M90">
        <v>0</v>
      </c>
      <c r="N90">
        <v>2227.1999999999998</v>
      </c>
      <c r="O90">
        <v>0</v>
      </c>
      <c r="P90">
        <v>2</v>
      </c>
    </row>
    <row r="91" spans="1:16" x14ac:dyDescent="0.35">
      <c r="A91" s="1">
        <v>46310</v>
      </c>
      <c r="B91">
        <v>2026</v>
      </c>
      <c r="C91" t="s">
        <v>76</v>
      </c>
      <c r="D91">
        <v>147</v>
      </c>
      <c r="E91" t="s">
        <v>174</v>
      </c>
      <c r="F91" t="s">
        <v>175</v>
      </c>
      <c r="G91" t="s">
        <v>176</v>
      </c>
      <c r="H91" t="s">
        <v>106</v>
      </c>
      <c r="I91">
        <v>19800</v>
      </c>
      <c r="J91">
        <v>0</v>
      </c>
      <c r="K91">
        <v>19800</v>
      </c>
      <c r="L91">
        <v>1.73</v>
      </c>
      <c r="M91">
        <v>0</v>
      </c>
      <c r="N91">
        <v>34254</v>
      </c>
      <c r="O91">
        <v>34254</v>
      </c>
      <c r="P91">
        <v>0</v>
      </c>
    </row>
    <row r="92" spans="1:16" x14ac:dyDescent="0.35">
      <c r="A92" s="1">
        <v>46310</v>
      </c>
      <c r="B92">
        <v>2026</v>
      </c>
      <c r="C92" t="s">
        <v>76</v>
      </c>
      <c r="D92">
        <v>147</v>
      </c>
      <c r="E92" t="s">
        <v>174</v>
      </c>
      <c r="F92" t="s">
        <v>175</v>
      </c>
      <c r="G92" t="s">
        <v>177</v>
      </c>
      <c r="H92" t="s">
        <v>178</v>
      </c>
      <c r="I92">
        <v>3000</v>
      </c>
      <c r="J92">
        <v>0</v>
      </c>
      <c r="K92">
        <v>3000</v>
      </c>
      <c r="L92">
        <v>2.38</v>
      </c>
      <c r="M92">
        <v>0</v>
      </c>
      <c r="N92">
        <v>7140</v>
      </c>
      <c r="O92">
        <v>7140</v>
      </c>
      <c r="P92">
        <v>0</v>
      </c>
    </row>
    <row r="93" spans="1:16" x14ac:dyDescent="0.35">
      <c r="A93" s="1">
        <v>46311</v>
      </c>
      <c r="B93">
        <v>2026</v>
      </c>
      <c r="D93">
        <v>883</v>
      </c>
      <c r="E93">
        <v>430000005</v>
      </c>
      <c r="F93" t="s">
        <v>56</v>
      </c>
      <c r="G93" t="s">
        <v>71</v>
      </c>
      <c r="H93" t="s">
        <v>72</v>
      </c>
      <c r="I93">
        <v>640</v>
      </c>
      <c r="J93">
        <v>640</v>
      </c>
      <c r="K93">
        <v>0</v>
      </c>
      <c r="L93">
        <v>3.65</v>
      </c>
      <c r="M93">
        <v>0</v>
      </c>
      <c r="N93">
        <f>LineasPedidoCliente[[#This Row],[Precio]]*LineasPedidoCliente[[#This Row],[Servidas]]</f>
        <v>2336</v>
      </c>
      <c r="O93">
        <v>0</v>
      </c>
      <c r="P93">
        <v>2</v>
      </c>
    </row>
    <row r="94" spans="1:16" x14ac:dyDescent="0.35">
      <c r="A94" s="1">
        <v>46311</v>
      </c>
      <c r="B94">
        <v>2026</v>
      </c>
      <c r="D94">
        <v>883</v>
      </c>
      <c r="E94">
        <v>430000005</v>
      </c>
      <c r="F94" t="s">
        <v>56</v>
      </c>
      <c r="G94" t="s">
        <v>73</v>
      </c>
      <c r="H94" t="s">
        <v>74</v>
      </c>
      <c r="I94">
        <v>640</v>
      </c>
      <c r="J94">
        <v>640</v>
      </c>
      <c r="K94">
        <v>0</v>
      </c>
      <c r="L94">
        <v>3.19</v>
      </c>
      <c r="M94">
        <v>0</v>
      </c>
      <c r="N94">
        <f>LineasPedidoCliente[[#This Row],[Precio]]*LineasPedidoCliente[[#This Row],[Servidas]]</f>
        <v>2041.6</v>
      </c>
      <c r="O94">
        <v>0</v>
      </c>
      <c r="P94">
        <v>2</v>
      </c>
    </row>
    <row r="95" spans="1:16" x14ac:dyDescent="0.35">
      <c r="A95" s="1">
        <v>46311</v>
      </c>
      <c r="B95">
        <v>2026</v>
      </c>
      <c r="D95">
        <v>884</v>
      </c>
      <c r="E95">
        <v>430000001</v>
      </c>
      <c r="F95" t="s">
        <v>40</v>
      </c>
      <c r="G95" t="s">
        <v>49</v>
      </c>
      <c r="H95" t="s">
        <v>50</v>
      </c>
      <c r="I95">
        <v>800</v>
      </c>
      <c r="J95">
        <v>800</v>
      </c>
      <c r="K95">
        <v>0</v>
      </c>
      <c r="L95">
        <v>3.82</v>
      </c>
      <c r="M95">
        <v>0</v>
      </c>
      <c r="N95">
        <f>LineasPedidoCliente[[#This Row],[Precio]]*LineasPedidoCliente[[#This Row],[Servidas]]</f>
        <v>3056</v>
      </c>
      <c r="O95">
        <v>0</v>
      </c>
      <c r="P95">
        <v>2</v>
      </c>
    </row>
    <row r="96" spans="1:16" x14ac:dyDescent="0.35">
      <c r="A96" s="1">
        <v>46311</v>
      </c>
      <c r="B96">
        <v>2026</v>
      </c>
      <c r="D96">
        <v>885</v>
      </c>
      <c r="E96">
        <v>430000015</v>
      </c>
      <c r="F96" t="s">
        <v>179</v>
      </c>
      <c r="G96" t="s">
        <v>181</v>
      </c>
      <c r="H96" t="s">
        <v>184</v>
      </c>
      <c r="I96">
        <v>1300</v>
      </c>
      <c r="J96">
        <v>1300</v>
      </c>
      <c r="K96">
        <v>0</v>
      </c>
      <c r="L96">
        <v>3.84</v>
      </c>
      <c r="M96">
        <v>0</v>
      </c>
      <c r="N96">
        <f>LineasPedidoCliente[[#This Row],[Precio]]*LineasPedidoCliente[[#This Row],[Pedidas]]</f>
        <v>4992</v>
      </c>
      <c r="O96">
        <v>0</v>
      </c>
      <c r="P96">
        <v>2</v>
      </c>
    </row>
    <row r="97" spans="1:16" x14ac:dyDescent="0.35">
      <c r="A97" s="1">
        <v>46311</v>
      </c>
      <c r="B97">
        <v>2026</v>
      </c>
      <c r="D97">
        <v>885</v>
      </c>
      <c r="E97" t="s">
        <v>180</v>
      </c>
      <c r="F97" t="s">
        <v>179</v>
      </c>
      <c r="G97" t="s">
        <v>182</v>
      </c>
      <c r="H97" t="s">
        <v>185</v>
      </c>
      <c r="I97">
        <v>600</v>
      </c>
      <c r="J97">
        <v>600</v>
      </c>
      <c r="K97">
        <v>0</v>
      </c>
      <c r="L97">
        <v>2.12</v>
      </c>
      <c r="M97">
        <v>0</v>
      </c>
      <c r="N97">
        <f>LineasPedidoCliente[[#This Row],[Precio]]*LineasPedidoCliente[[#This Row],[Pedidas]]</f>
        <v>1272</v>
      </c>
      <c r="O97">
        <v>0</v>
      </c>
      <c r="P97">
        <v>2</v>
      </c>
    </row>
    <row r="98" spans="1:16" x14ac:dyDescent="0.35">
      <c r="A98" s="1">
        <v>46311</v>
      </c>
      <c r="B98">
        <v>2026</v>
      </c>
      <c r="D98">
        <v>885</v>
      </c>
      <c r="E98" t="s">
        <v>180</v>
      </c>
      <c r="F98" t="s">
        <v>179</v>
      </c>
      <c r="G98" t="s">
        <v>103</v>
      </c>
      <c r="H98" t="s">
        <v>104</v>
      </c>
      <c r="I98">
        <v>1100</v>
      </c>
      <c r="J98">
        <v>1100</v>
      </c>
      <c r="K98">
        <v>0</v>
      </c>
      <c r="L98">
        <v>1.59</v>
      </c>
      <c r="M98">
        <v>0</v>
      </c>
      <c r="N98">
        <f>LineasPedidoCliente[[#This Row],[Precio]]*LineasPedidoCliente[[#This Row],[Pedidas]]</f>
        <v>1749</v>
      </c>
      <c r="O98">
        <v>0</v>
      </c>
      <c r="P98">
        <v>2</v>
      </c>
    </row>
    <row r="99" spans="1:16" x14ac:dyDescent="0.35">
      <c r="A99" s="1">
        <v>46311</v>
      </c>
      <c r="B99">
        <v>2026</v>
      </c>
      <c r="D99">
        <v>885</v>
      </c>
      <c r="E99" t="s">
        <v>180</v>
      </c>
      <c r="F99" t="s">
        <v>179</v>
      </c>
      <c r="G99" t="s">
        <v>183</v>
      </c>
      <c r="H99" t="s">
        <v>186</v>
      </c>
      <c r="I99">
        <v>2200</v>
      </c>
      <c r="J99">
        <v>2200</v>
      </c>
      <c r="K99">
        <v>0</v>
      </c>
      <c r="L99">
        <v>1.77</v>
      </c>
      <c r="M99">
        <v>0</v>
      </c>
      <c r="N99">
        <f>LineasPedidoCliente[[#This Row],[Precio]]*LineasPedidoCliente[[#This Row],[Pedidas]]</f>
        <v>3894</v>
      </c>
      <c r="O99">
        <v>0</v>
      </c>
      <c r="P99">
        <v>2</v>
      </c>
    </row>
    <row r="100" spans="1:16" x14ac:dyDescent="0.35">
      <c r="A100" s="1">
        <v>46314</v>
      </c>
      <c r="B100">
        <v>2026</v>
      </c>
      <c r="D100">
        <v>886</v>
      </c>
      <c r="E100">
        <v>430000019</v>
      </c>
      <c r="F100" t="s">
        <v>18</v>
      </c>
      <c r="G100" t="s">
        <v>107</v>
      </c>
      <c r="H100" t="s">
        <v>108</v>
      </c>
      <c r="I100">
        <v>640</v>
      </c>
      <c r="J100">
        <v>0</v>
      </c>
      <c r="K100">
        <v>640</v>
      </c>
      <c r="L100">
        <v>5.1100000000000003</v>
      </c>
      <c r="M100">
        <v>0</v>
      </c>
      <c r="N100">
        <f>LineasPedidoCliente[[#This Row],[Precio]]*LineasPedidoCliente[[#This Row],[Pedidas]]</f>
        <v>3270.4</v>
      </c>
      <c r="O100">
        <f>LineasPedidoCliente[[#This Row],[ImporteNeto]]</f>
        <v>3270.4</v>
      </c>
      <c r="P100">
        <v>0</v>
      </c>
    </row>
    <row r="101" spans="1:16" x14ac:dyDescent="0.35">
      <c r="A101" s="1">
        <v>46314</v>
      </c>
      <c r="B101">
        <v>2026</v>
      </c>
      <c r="D101">
        <v>886</v>
      </c>
      <c r="E101" t="s">
        <v>17</v>
      </c>
      <c r="F101" t="s">
        <v>18</v>
      </c>
      <c r="G101" t="s">
        <v>65</v>
      </c>
      <c r="H101" t="s">
        <v>66</v>
      </c>
      <c r="I101">
        <v>200</v>
      </c>
      <c r="J101">
        <v>200</v>
      </c>
      <c r="K101">
        <v>0</v>
      </c>
      <c r="L101">
        <v>10.57</v>
      </c>
      <c r="M101">
        <v>0</v>
      </c>
      <c r="N101">
        <f>LineasPedidoCliente[[#This Row],[Precio]]*LineasPedidoCliente[[#This Row],[Pedidas]]</f>
        <v>2114</v>
      </c>
      <c r="O101">
        <v>0</v>
      </c>
      <c r="P101">
        <v>2</v>
      </c>
    </row>
    <row r="102" spans="1:16" x14ac:dyDescent="0.35">
      <c r="A102" s="1">
        <v>46314</v>
      </c>
      <c r="B102">
        <v>2026</v>
      </c>
      <c r="D102">
        <v>886</v>
      </c>
      <c r="E102" t="s">
        <v>17</v>
      </c>
      <c r="F102" t="s">
        <v>18</v>
      </c>
      <c r="G102" t="s">
        <v>65</v>
      </c>
      <c r="H102" t="s">
        <v>66</v>
      </c>
      <c r="I102">
        <v>5</v>
      </c>
      <c r="J102">
        <v>5</v>
      </c>
      <c r="K102">
        <v>0</v>
      </c>
      <c r="L102">
        <v>0</v>
      </c>
      <c r="M102">
        <v>0</v>
      </c>
      <c r="N102">
        <f>LineasPedidoCliente[[#This Row],[Precio]]*LineasPedidoCliente[[#This Row],[Pedidas]]</f>
        <v>0</v>
      </c>
      <c r="O102">
        <v>0</v>
      </c>
      <c r="P102">
        <v>2</v>
      </c>
    </row>
    <row r="103" spans="1:16" x14ac:dyDescent="0.35">
      <c r="A103" s="1">
        <v>46315</v>
      </c>
      <c r="B103">
        <v>2026</v>
      </c>
      <c r="D103">
        <v>887</v>
      </c>
      <c r="E103" t="s">
        <v>21</v>
      </c>
      <c r="F103" t="s">
        <v>22</v>
      </c>
      <c r="G103" t="s">
        <v>153</v>
      </c>
      <c r="H103" t="s">
        <v>58</v>
      </c>
      <c r="I103">
        <v>1280</v>
      </c>
      <c r="J103">
        <v>0</v>
      </c>
      <c r="K103">
        <v>1280</v>
      </c>
      <c r="L103">
        <v>3.31</v>
      </c>
      <c r="M103">
        <v>0</v>
      </c>
      <c r="N103">
        <f>LineasPedidoCliente[[#This Row],[Precio]]*LineasPedidoCliente[[#This Row],[Pedidas]]</f>
        <v>4236.8</v>
      </c>
      <c r="O103">
        <f>LineasPedidoCliente[[#This Row],[ImporteNeto]]</f>
        <v>4236.8</v>
      </c>
      <c r="P103">
        <v>0</v>
      </c>
    </row>
    <row r="104" spans="1:16" x14ac:dyDescent="0.35">
      <c r="A104" s="1">
        <v>46315</v>
      </c>
      <c r="B104">
        <v>2026</v>
      </c>
      <c r="D104">
        <v>888</v>
      </c>
      <c r="E104" t="s">
        <v>39</v>
      </c>
      <c r="F104" t="s">
        <v>40</v>
      </c>
      <c r="G104" t="s">
        <v>105</v>
      </c>
      <c r="H104" t="s">
        <v>106</v>
      </c>
      <c r="I104">
        <v>3300</v>
      </c>
      <c r="J104">
        <v>3300</v>
      </c>
      <c r="K104">
        <v>0</v>
      </c>
      <c r="L104">
        <v>1.65</v>
      </c>
      <c r="M104">
        <v>0</v>
      </c>
      <c r="N104">
        <f>LineasPedidoCliente[[#This Row],[Pedidas]]*LineasPedidoCliente[[#This Row],[Precio]]</f>
        <v>5445</v>
      </c>
      <c r="O104">
        <v>0</v>
      </c>
      <c r="P104">
        <v>2</v>
      </c>
    </row>
    <row r="105" spans="1:16" x14ac:dyDescent="0.35">
      <c r="A105" s="1">
        <v>46315</v>
      </c>
      <c r="B105">
        <v>2026</v>
      </c>
      <c r="D105">
        <v>888</v>
      </c>
      <c r="E105" t="s">
        <v>39</v>
      </c>
      <c r="F105" t="s">
        <v>40</v>
      </c>
      <c r="G105" t="s">
        <v>103</v>
      </c>
      <c r="H105" t="s">
        <v>104</v>
      </c>
      <c r="I105">
        <v>1100</v>
      </c>
      <c r="J105">
        <v>1100</v>
      </c>
      <c r="K105">
        <v>0</v>
      </c>
      <c r="L105">
        <v>1.82</v>
      </c>
      <c r="M105">
        <v>0</v>
      </c>
      <c r="N105">
        <f>LineasPedidoCliente[[#This Row],[Pedidas]]*LineasPedidoCliente[[#This Row],[Precio]]</f>
        <v>2002</v>
      </c>
      <c r="O105">
        <v>0</v>
      </c>
      <c r="P105">
        <v>2</v>
      </c>
    </row>
    <row r="106" spans="1:16" x14ac:dyDescent="0.35">
      <c r="A106" s="1">
        <v>46315</v>
      </c>
      <c r="B106">
        <v>2026</v>
      </c>
      <c r="D106">
        <v>888</v>
      </c>
      <c r="E106" t="s">
        <v>39</v>
      </c>
      <c r="F106" t="s">
        <v>40</v>
      </c>
      <c r="G106" t="s">
        <v>41</v>
      </c>
      <c r="H106" t="s">
        <v>42</v>
      </c>
      <c r="I106">
        <v>400</v>
      </c>
      <c r="J106">
        <v>400</v>
      </c>
      <c r="K106">
        <v>0</v>
      </c>
      <c r="L106">
        <v>2.0099999999999998</v>
      </c>
      <c r="M106">
        <v>0</v>
      </c>
      <c r="N106">
        <f>LineasPedidoCliente[[#This Row],[Pedidas]]*LineasPedidoCliente[[#This Row],[Precio]]</f>
        <v>803.99999999999989</v>
      </c>
      <c r="O106">
        <v>0</v>
      </c>
      <c r="P106">
        <v>2</v>
      </c>
    </row>
    <row r="107" spans="1:16" x14ac:dyDescent="0.35">
      <c r="A107" s="1">
        <v>46315</v>
      </c>
      <c r="B107">
        <v>2026</v>
      </c>
      <c r="D107">
        <v>888</v>
      </c>
      <c r="E107" t="s">
        <v>39</v>
      </c>
      <c r="F107" t="s">
        <v>40</v>
      </c>
      <c r="G107" t="s">
        <v>47</v>
      </c>
      <c r="H107" t="s">
        <v>48</v>
      </c>
      <c r="I107">
        <v>640</v>
      </c>
      <c r="J107">
        <v>640</v>
      </c>
      <c r="K107">
        <v>0</v>
      </c>
      <c r="L107">
        <v>2.1</v>
      </c>
      <c r="M107">
        <v>0</v>
      </c>
      <c r="N107">
        <f>LineasPedidoCliente[[#This Row],[Pedidas]]*LineasPedidoCliente[[#This Row],[Precio]]</f>
        <v>1344</v>
      </c>
      <c r="O107">
        <v>0</v>
      </c>
      <c r="P107">
        <v>2</v>
      </c>
    </row>
    <row r="108" spans="1:16" x14ac:dyDescent="0.35">
      <c r="A108" s="1">
        <v>46315</v>
      </c>
      <c r="B108">
        <v>2026</v>
      </c>
      <c r="D108">
        <v>888</v>
      </c>
      <c r="E108" t="s">
        <v>39</v>
      </c>
      <c r="F108" t="s">
        <v>40</v>
      </c>
      <c r="G108" t="s">
        <v>41</v>
      </c>
      <c r="H108" t="s">
        <v>42</v>
      </c>
      <c r="I108">
        <v>2000</v>
      </c>
      <c r="J108">
        <v>2000</v>
      </c>
      <c r="K108">
        <v>0</v>
      </c>
      <c r="L108">
        <v>2.0099999999999998</v>
      </c>
      <c r="M108">
        <v>0</v>
      </c>
      <c r="N108">
        <f>LineasPedidoCliente[[#This Row],[Pedidas]]*LineasPedidoCliente[[#This Row],[Precio]]</f>
        <v>4019.9999999999995</v>
      </c>
      <c r="O108">
        <v>0</v>
      </c>
      <c r="P108">
        <v>2</v>
      </c>
    </row>
    <row r="109" spans="1:16" x14ac:dyDescent="0.35">
      <c r="A109" s="1">
        <v>46315</v>
      </c>
      <c r="B109">
        <v>2026</v>
      </c>
      <c r="D109">
        <v>889</v>
      </c>
      <c r="E109">
        <v>430000429</v>
      </c>
      <c r="F109" t="s">
        <v>84</v>
      </c>
      <c r="G109" t="s">
        <v>187</v>
      </c>
      <c r="H109" t="s">
        <v>188</v>
      </c>
      <c r="I109">
        <v>200</v>
      </c>
      <c r="J109">
        <v>200</v>
      </c>
      <c r="K109">
        <v>0</v>
      </c>
      <c r="L109">
        <v>2.64</v>
      </c>
      <c r="M109">
        <v>0</v>
      </c>
      <c r="N109">
        <f>LineasPedidoCliente[[#This Row],[Pedidas]]*LineasPedidoCliente[[#This Row],[Precio]]</f>
        <v>528</v>
      </c>
      <c r="O109">
        <v>0</v>
      </c>
      <c r="P109">
        <v>2</v>
      </c>
    </row>
    <row r="110" spans="1:16" x14ac:dyDescent="0.35">
      <c r="A110" s="1">
        <v>46315</v>
      </c>
      <c r="B110">
        <v>2026</v>
      </c>
      <c r="D110">
        <v>889</v>
      </c>
      <c r="E110">
        <v>430000429</v>
      </c>
      <c r="F110" t="s">
        <v>84</v>
      </c>
      <c r="G110" t="s">
        <v>151</v>
      </c>
      <c r="H110" t="s">
        <v>152</v>
      </c>
      <c r="I110">
        <v>100</v>
      </c>
      <c r="J110">
        <v>100</v>
      </c>
      <c r="K110">
        <v>0</v>
      </c>
      <c r="L110">
        <v>2.2200000000000002</v>
      </c>
      <c r="M110">
        <v>0</v>
      </c>
      <c r="N110">
        <f>LineasPedidoCliente[[#This Row],[Pedidas]]*LineasPedidoCliente[[#This Row],[Precio]]</f>
        <v>222.00000000000003</v>
      </c>
      <c r="O110">
        <v>0</v>
      </c>
      <c r="P110">
        <v>2</v>
      </c>
    </row>
    <row r="111" spans="1:16" x14ac:dyDescent="0.35">
      <c r="A111" s="1">
        <v>46315</v>
      </c>
      <c r="B111">
        <v>2026</v>
      </c>
      <c r="D111">
        <v>889</v>
      </c>
      <c r="E111">
        <v>430000429</v>
      </c>
      <c r="F111" t="s">
        <v>84</v>
      </c>
      <c r="G111" t="s">
        <v>73</v>
      </c>
      <c r="H111" t="s">
        <v>74</v>
      </c>
      <c r="I111">
        <v>100</v>
      </c>
      <c r="J111">
        <v>100</v>
      </c>
      <c r="K111">
        <v>0</v>
      </c>
      <c r="L111">
        <v>3.16</v>
      </c>
      <c r="M111">
        <v>0</v>
      </c>
      <c r="N111">
        <f>LineasPedidoCliente[[#This Row],[Pedidas]]*LineasPedidoCliente[[#This Row],[Precio]]</f>
        <v>316</v>
      </c>
      <c r="O111">
        <v>0</v>
      </c>
      <c r="P111">
        <v>2</v>
      </c>
    </row>
    <row r="112" spans="1:16" x14ac:dyDescent="0.35">
      <c r="A112" s="1">
        <v>46315</v>
      </c>
      <c r="B112">
        <v>2026</v>
      </c>
      <c r="D112">
        <v>889</v>
      </c>
      <c r="E112">
        <v>430000429</v>
      </c>
      <c r="F112" t="s">
        <v>84</v>
      </c>
      <c r="G112" t="s">
        <v>95</v>
      </c>
      <c r="H112" t="s">
        <v>96</v>
      </c>
      <c r="I112">
        <v>200</v>
      </c>
      <c r="J112">
        <v>200</v>
      </c>
      <c r="K112">
        <v>0</v>
      </c>
      <c r="L112">
        <v>2.34</v>
      </c>
      <c r="M112">
        <v>0</v>
      </c>
      <c r="N112">
        <f>LineasPedidoCliente[[#This Row],[Pedidas]]*LineasPedidoCliente[[#This Row],[Precio]]</f>
        <v>468</v>
      </c>
      <c r="O112">
        <v>0</v>
      </c>
      <c r="P112">
        <v>2</v>
      </c>
    </row>
    <row r="113" spans="1:16" x14ac:dyDescent="0.35">
      <c r="A113" s="1">
        <v>46316</v>
      </c>
      <c r="B113">
        <v>2026</v>
      </c>
      <c r="D113">
        <v>148</v>
      </c>
      <c r="E113" t="s">
        <v>189</v>
      </c>
      <c r="F113" t="s">
        <v>190</v>
      </c>
      <c r="G113" t="s">
        <v>61</v>
      </c>
      <c r="H113" t="s">
        <v>62</v>
      </c>
      <c r="I113">
        <v>1800</v>
      </c>
      <c r="J113">
        <v>0</v>
      </c>
      <c r="K113">
        <v>1800</v>
      </c>
      <c r="L113">
        <v>1.88</v>
      </c>
      <c r="M113">
        <v>0</v>
      </c>
      <c r="N113">
        <f>LineasPedidoCliente[[#This Row],[Pedidas]]*LineasPedidoCliente[[#This Row],[Precio]]</f>
        <v>3384</v>
      </c>
      <c r="O113">
        <v>3384</v>
      </c>
      <c r="P113">
        <v>0</v>
      </c>
    </row>
    <row r="114" spans="1:16" x14ac:dyDescent="0.35">
      <c r="A114" s="1">
        <v>46316</v>
      </c>
      <c r="B114">
        <v>2026</v>
      </c>
      <c r="D114">
        <v>148</v>
      </c>
      <c r="E114" t="s">
        <v>189</v>
      </c>
      <c r="F114" t="s">
        <v>190</v>
      </c>
      <c r="G114" t="s">
        <v>191</v>
      </c>
      <c r="H114" t="s">
        <v>207</v>
      </c>
      <c r="I114">
        <v>1788</v>
      </c>
      <c r="J114">
        <v>0</v>
      </c>
      <c r="K114">
        <v>1788</v>
      </c>
      <c r="L114">
        <v>3.99</v>
      </c>
      <c r="M114">
        <v>0</v>
      </c>
      <c r="N114">
        <f>LineasPedidoCliente[[#This Row],[Pedidas]]*LineasPedidoCliente[[#This Row],[Precio]]</f>
        <v>7134.1200000000008</v>
      </c>
      <c r="O114">
        <v>7134.1200000000008</v>
      </c>
      <c r="P114">
        <v>0</v>
      </c>
    </row>
    <row r="115" spans="1:16" x14ac:dyDescent="0.35">
      <c r="A115" s="1">
        <v>46316</v>
      </c>
      <c r="B115">
        <v>2026</v>
      </c>
      <c r="D115">
        <v>148</v>
      </c>
      <c r="E115" t="s">
        <v>189</v>
      </c>
      <c r="F115" t="s">
        <v>190</v>
      </c>
      <c r="G115" t="s">
        <v>192</v>
      </c>
      <c r="H115" t="s">
        <v>208</v>
      </c>
      <c r="I115">
        <v>36</v>
      </c>
      <c r="J115">
        <v>0</v>
      </c>
      <c r="K115">
        <v>36</v>
      </c>
      <c r="L115">
        <v>4.74</v>
      </c>
      <c r="M115">
        <v>0</v>
      </c>
      <c r="N115">
        <f>LineasPedidoCliente[[#This Row],[Pedidas]]*LineasPedidoCliente[[#This Row],[Precio]]</f>
        <v>170.64000000000001</v>
      </c>
      <c r="O115">
        <v>170.64000000000001</v>
      </c>
      <c r="P115">
        <v>0</v>
      </c>
    </row>
    <row r="116" spans="1:16" x14ac:dyDescent="0.35">
      <c r="A116" s="1">
        <v>46316</v>
      </c>
      <c r="B116">
        <v>2026</v>
      </c>
      <c r="D116">
        <v>148</v>
      </c>
      <c r="E116" t="s">
        <v>189</v>
      </c>
      <c r="F116" t="s">
        <v>190</v>
      </c>
      <c r="G116" t="s">
        <v>182</v>
      </c>
      <c r="H116" t="s">
        <v>185</v>
      </c>
      <c r="I116">
        <v>3900</v>
      </c>
      <c r="J116">
        <v>0</v>
      </c>
      <c r="K116">
        <v>3900</v>
      </c>
      <c r="L116">
        <v>2.4700000000000002</v>
      </c>
      <c r="M116">
        <v>0</v>
      </c>
      <c r="N116">
        <f>LineasPedidoCliente[[#This Row],[Pedidas]]*LineasPedidoCliente[[#This Row],[Precio]]</f>
        <v>9633</v>
      </c>
      <c r="O116">
        <v>9633</v>
      </c>
      <c r="P116">
        <v>0</v>
      </c>
    </row>
    <row r="117" spans="1:16" x14ac:dyDescent="0.35">
      <c r="A117" s="1">
        <v>46316</v>
      </c>
      <c r="B117">
        <v>2026</v>
      </c>
      <c r="D117">
        <v>148</v>
      </c>
      <c r="E117" t="s">
        <v>189</v>
      </c>
      <c r="F117" t="s">
        <v>190</v>
      </c>
      <c r="G117" t="s">
        <v>95</v>
      </c>
      <c r="H117" t="s">
        <v>96</v>
      </c>
      <c r="I117">
        <v>6400</v>
      </c>
      <c r="J117">
        <v>0</v>
      </c>
      <c r="K117">
        <v>6400</v>
      </c>
      <c r="L117">
        <v>2.39</v>
      </c>
      <c r="M117">
        <v>0</v>
      </c>
      <c r="N117">
        <f>LineasPedidoCliente[[#This Row],[Pedidas]]*LineasPedidoCliente[[#This Row],[Precio]]</f>
        <v>15296</v>
      </c>
      <c r="O117">
        <v>15296</v>
      </c>
      <c r="P117">
        <v>0</v>
      </c>
    </row>
    <row r="118" spans="1:16" x14ac:dyDescent="0.35">
      <c r="A118" s="1">
        <v>46316</v>
      </c>
      <c r="B118">
        <v>2026</v>
      </c>
      <c r="D118">
        <v>148</v>
      </c>
      <c r="E118" t="s">
        <v>189</v>
      </c>
      <c r="F118" t="s">
        <v>190</v>
      </c>
      <c r="G118" t="s">
        <v>193</v>
      </c>
      <c r="H118" t="s">
        <v>209</v>
      </c>
      <c r="I118">
        <v>2892</v>
      </c>
      <c r="J118">
        <v>0</v>
      </c>
      <c r="K118">
        <v>2892</v>
      </c>
      <c r="L118">
        <v>3.5</v>
      </c>
      <c r="M118">
        <v>0</v>
      </c>
      <c r="N118">
        <f>LineasPedidoCliente[[#This Row],[Pedidas]]*LineasPedidoCliente[[#This Row],[Precio]]</f>
        <v>10122</v>
      </c>
      <c r="O118">
        <v>10122</v>
      </c>
      <c r="P118">
        <v>0</v>
      </c>
    </row>
    <row r="119" spans="1:16" x14ac:dyDescent="0.35">
      <c r="A119" s="1">
        <v>46316</v>
      </c>
      <c r="B119">
        <v>2026</v>
      </c>
      <c r="D119">
        <v>148</v>
      </c>
      <c r="E119" t="s">
        <v>189</v>
      </c>
      <c r="F119" t="s">
        <v>190</v>
      </c>
      <c r="G119" t="s">
        <v>194</v>
      </c>
      <c r="H119" t="s">
        <v>210</v>
      </c>
      <c r="I119">
        <v>2808</v>
      </c>
      <c r="J119">
        <v>0</v>
      </c>
      <c r="K119">
        <v>2808</v>
      </c>
      <c r="L119">
        <v>4.75</v>
      </c>
      <c r="M119">
        <v>0</v>
      </c>
      <c r="N119">
        <f>LineasPedidoCliente[[#This Row],[Pedidas]]*LineasPedidoCliente[[#This Row],[Precio]]</f>
        <v>13338</v>
      </c>
      <c r="O119">
        <v>13338</v>
      </c>
      <c r="P119">
        <v>0</v>
      </c>
    </row>
    <row r="120" spans="1:16" x14ac:dyDescent="0.35">
      <c r="A120" s="1">
        <v>46316</v>
      </c>
      <c r="B120">
        <v>2026</v>
      </c>
      <c r="D120">
        <v>148</v>
      </c>
      <c r="E120" t="s">
        <v>189</v>
      </c>
      <c r="F120" t="s">
        <v>190</v>
      </c>
      <c r="G120" t="s">
        <v>151</v>
      </c>
      <c r="H120" t="s">
        <v>152</v>
      </c>
      <c r="I120">
        <v>480</v>
      </c>
      <c r="J120">
        <v>0</v>
      </c>
      <c r="K120">
        <v>480</v>
      </c>
      <c r="L120">
        <v>2.42</v>
      </c>
      <c r="M120">
        <v>0</v>
      </c>
      <c r="N120">
        <f>LineasPedidoCliente[[#This Row],[Pedidas]]*LineasPedidoCliente[[#This Row],[Precio]]</f>
        <v>1161.5999999999999</v>
      </c>
      <c r="O120">
        <v>1161.5999999999999</v>
      </c>
      <c r="P120">
        <v>0</v>
      </c>
    </row>
    <row r="121" spans="1:16" x14ac:dyDescent="0.35">
      <c r="A121" s="1">
        <v>46316</v>
      </c>
      <c r="B121">
        <v>2026</v>
      </c>
      <c r="D121">
        <v>148</v>
      </c>
      <c r="E121" t="s">
        <v>189</v>
      </c>
      <c r="F121" t="s">
        <v>190</v>
      </c>
      <c r="G121" t="s">
        <v>195</v>
      </c>
      <c r="H121" t="s">
        <v>211</v>
      </c>
      <c r="I121">
        <v>84</v>
      </c>
      <c r="J121">
        <v>0</v>
      </c>
      <c r="K121">
        <v>84</v>
      </c>
      <c r="L121">
        <v>5.58</v>
      </c>
      <c r="M121">
        <v>0</v>
      </c>
      <c r="N121">
        <f>LineasPedidoCliente[[#This Row],[Pedidas]]*LineasPedidoCliente[[#This Row],[Precio]]</f>
        <v>468.72</v>
      </c>
      <c r="O121">
        <v>468.72</v>
      </c>
      <c r="P121">
        <v>0</v>
      </c>
    </row>
    <row r="122" spans="1:16" x14ac:dyDescent="0.35">
      <c r="A122" s="1">
        <v>46316</v>
      </c>
      <c r="B122">
        <v>2026</v>
      </c>
      <c r="D122">
        <v>148</v>
      </c>
      <c r="E122" t="s">
        <v>189</v>
      </c>
      <c r="F122" t="s">
        <v>190</v>
      </c>
      <c r="G122" t="s">
        <v>196</v>
      </c>
      <c r="H122" t="s">
        <v>212</v>
      </c>
      <c r="I122">
        <v>1200</v>
      </c>
      <c r="J122">
        <v>0</v>
      </c>
      <c r="K122">
        <v>1200</v>
      </c>
      <c r="L122">
        <v>4.83</v>
      </c>
      <c r="M122">
        <v>0</v>
      </c>
      <c r="N122">
        <f>LineasPedidoCliente[[#This Row],[Pedidas]]*LineasPedidoCliente[[#This Row],[Precio]]</f>
        <v>5796</v>
      </c>
      <c r="O122">
        <v>5796</v>
      </c>
      <c r="P122">
        <v>0</v>
      </c>
    </row>
    <row r="123" spans="1:16" x14ac:dyDescent="0.35">
      <c r="A123" s="1">
        <v>46316</v>
      </c>
      <c r="B123">
        <v>2026</v>
      </c>
      <c r="D123">
        <v>148</v>
      </c>
      <c r="E123" t="s">
        <v>189</v>
      </c>
      <c r="F123" t="s">
        <v>190</v>
      </c>
      <c r="G123" t="s">
        <v>197</v>
      </c>
      <c r="H123" t="s">
        <v>213</v>
      </c>
      <c r="I123">
        <v>2448</v>
      </c>
      <c r="J123">
        <v>0</v>
      </c>
      <c r="K123">
        <v>2448</v>
      </c>
      <c r="L123">
        <v>5.31</v>
      </c>
      <c r="M123">
        <v>0</v>
      </c>
      <c r="N123">
        <f>LineasPedidoCliente[[#This Row],[Pedidas]]*LineasPedidoCliente[[#This Row],[Precio]]</f>
        <v>12998.88</v>
      </c>
      <c r="O123">
        <v>12998.88</v>
      </c>
      <c r="P123">
        <v>0</v>
      </c>
    </row>
    <row r="124" spans="1:16" x14ac:dyDescent="0.35">
      <c r="A124" s="1">
        <v>46316</v>
      </c>
      <c r="B124">
        <v>2026</v>
      </c>
      <c r="D124">
        <v>148</v>
      </c>
      <c r="E124" t="s">
        <v>189</v>
      </c>
      <c r="F124" t="s">
        <v>190</v>
      </c>
      <c r="G124" t="s">
        <v>198</v>
      </c>
      <c r="H124" t="s">
        <v>214</v>
      </c>
      <c r="I124">
        <v>2040</v>
      </c>
      <c r="J124">
        <v>0</v>
      </c>
      <c r="K124">
        <v>2040</v>
      </c>
      <c r="L124">
        <v>4.7699999999999996</v>
      </c>
      <c r="M124">
        <v>0</v>
      </c>
      <c r="N124">
        <f>LineasPedidoCliente[[#This Row],[Pedidas]]*LineasPedidoCliente[[#This Row],[Precio]]</f>
        <v>9730.7999999999993</v>
      </c>
      <c r="O124">
        <v>9730.7999999999993</v>
      </c>
      <c r="P124">
        <v>0</v>
      </c>
    </row>
    <row r="125" spans="1:16" x14ac:dyDescent="0.35">
      <c r="A125" s="1">
        <v>46316</v>
      </c>
      <c r="B125">
        <v>2026</v>
      </c>
      <c r="D125">
        <v>148</v>
      </c>
      <c r="E125" t="s">
        <v>189</v>
      </c>
      <c r="F125" t="s">
        <v>190</v>
      </c>
      <c r="G125" t="s">
        <v>199</v>
      </c>
      <c r="H125" t="s">
        <v>215</v>
      </c>
      <c r="I125">
        <v>984</v>
      </c>
      <c r="J125">
        <v>0</v>
      </c>
      <c r="K125">
        <v>984</v>
      </c>
      <c r="L125">
        <v>5.78</v>
      </c>
      <c r="M125">
        <v>0</v>
      </c>
      <c r="N125">
        <f>LineasPedidoCliente[[#This Row],[Pedidas]]*LineasPedidoCliente[[#This Row],[Precio]]</f>
        <v>5687.52</v>
      </c>
      <c r="O125">
        <v>5687.52</v>
      </c>
      <c r="P125">
        <v>0</v>
      </c>
    </row>
    <row r="126" spans="1:16" x14ac:dyDescent="0.35">
      <c r="A126" s="1">
        <v>46316</v>
      </c>
      <c r="B126">
        <v>2026</v>
      </c>
      <c r="D126">
        <v>148</v>
      </c>
      <c r="E126" t="s">
        <v>189</v>
      </c>
      <c r="F126" t="s">
        <v>190</v>
      </c>
      <c r="G126" t="s">
        <v>200</v>
      </c>
      <c r="H126" t="s">
        <v>216</v>
      </c>
      <c r="I126">
        <v>1160</v>
      </c>
      <c r="J126">
        <v>0</v>
      </c>
      <c r="K126">
        <v>1160</v>
      </c>
      <c r="L126">
        <v>3.74</v>
      </c>
      <c r="M126">
        <v>0</v>
      </c>
      <c r="N126">
        <f>LineasPedidoCliente[[#This Row],[Pedidas]]*LineasPedidoCliente[[#This Row],[Precio]]</f>
        <v>4338.4000000000005</v>
      </c>
      <c r="O126">
        <v>4338.4000000000005</v>
      </c>
      <c r="P126">
        <v>0</v>
      </c>
    </row>
    <row r="127" spans="1:16" x14ac:dyDescent="0.35">
      <c r="A127" s="1">
        <v>46316</v>
      </c>
      <c r="B127">
        <v>2026</v>
      </c>
      <c r="D127">
        <v>148</v>
      </c>
      <c r="E127" t="s">
        <v>189</v>
      </c>
      <c r="F127" t="s">
        <v>190</v>
      </c>
      <c r="G127" t="s">
        <v>201</v>
      </c>
      <c r="H127" t="s">
        <v>217</v>
      </c>
      <c r="I127">
        <v>1092</v>
      </c>
      <c r="J127">
        <v>0</v>
      </c>
      <c r="K127">
        <v>1092</v>
      </c>
      <c r="L127">
        <v>4.68</v>
      </c>
      <c r="M127">
        <v>0</v>
      </c>
      <c r="N127">
        <f>LineasPedidoCliente[[#This Row],[Pedidas]]*LineasPedidoCliente[[#This Row],[Precio]]</f>
        <v>5110.5599999999995</v>
      </c>
      <c r="O127">
        <v>5110.5599999999995</v>
      </c>
      <c r="P127">
        <v>0</v>
      </c>
    </row>
    <row r="128" spans="1:16" x14ac:dyDescent="0.35">
      <c r="A128" s="1">
        <v>46316</v>
      </c>
      <c r="B128">
        <v>2026</v>
      </c>
      <c r="D128">
        <v>148</v>
      </c>
      <c r="E128" t="s">
        <v>189</v>
      </c>
      <c r="F128" t="s">
        <v>190</v>
      </c>
      <c r="G128" t="s">
        <v>202</v>
      </c>
      <c r="H128" t="s">
        <v>54</v>
      </c>
      <c r="I128">
        <v>1260</v>
      </c>
      <c r="J128">
        <v>0</v>
      </c>
      <c r="K128">
        <v>1260</v>
      </c>
      <c r="L128">
        <v>3.21</v>
      </c>
      <c r="M128">
        <v>0</v>
      </c>
      <c r="N128">
        <f>LineasPedidoCliente[[#This Row],[Pedidas]]*LineasPedidoCliente[[#This Row],[Precio]]</f>
        <v>4044.6</v>
      </c>
      <c r="O128">
        <v>4044.6</v>
      </c>
      <c r="P128">
        <v>0</v>
      </c>
    </row>
    <row r="129" spans="1:16" x14ac:dyDescent="0.35">
      <c r="A129" s="1">
        <v>46316</v>
      </c>
      <c r="B129">
        <v>2026</v>
      </c>
      <c r="D129">
        <v>148</v>
      </c>
      <c r="E129" t="s">
        <v>189</v>
      </c>
      <c r="F129" t="s">
        <v>190</v>
      </c>
      <c r="G129" t="s">
        <v>203</v>
      </c>
      <c r="H129" t="s">
        <v>161</v>
      </c>
      <c r="I129">
        <v>2520</v>
      </c>
      <c r="J129">
        <v>0</v>
      </c>
      <c r="K129">
        <v>2520</v>
      </c>
      <c r="L129">
        <v>4.16</v>
      </c>
      <c r="M129">
        <v>0</v>
      </c>
      <c r="N129">
        <f>LineasPedidoCliente[[#This Row],[Pedidas]]*LineasPedidoCliente[[#This Row],[Precio]]</f>
        <v>10483.200000000001</v>
      </c>
      <c r="O129">
        <v>10483.200000000001</v>
      </c>
      <c r="P129">
        <v>0</v>
      </c>
    </row>
    <row r="130" spans="1:16" x14ac:dyDescent="0.35">
      <c r="A130" s="1">
        <v>46316</v>
      </c>
      <c r="B130">
        <v>2026</v>
      </c>
      <c r="D130">
        <v>148</v>
      </c>
      <c r="E130" t="s">
        <v>189</v>
      </c>
      <c r="F130" t="s">
        <v>190</v>
      </c>
      <c r="G130" t="s">
        <v>204</v>
      </c>
      <c r="H130" t="s">
        <v>218</v>
      </c>
      <c r="I130">
        <v>2904</v>
      </c>
      <c r="J130">
        <v>0</v>
      </c>
      <c r="K130">
        <v>2904</v>
      </c>
      <c r="L130">
        <v>5.87</v>
      </c>
      <c r="M130">
        <v>0</v>
      </c>
      <c r="N130">
        <f>LineasPedidoCliente[[#This Row],[Pedidas]]*LineasPedidoCliente[[#This Row],[Precio]]</f>
        <v>17046.48</v>
      </c>
      <c r="O130">
        <v>17046.48</v>
      </c>
      <c r="P130">
        <v>0</v>
      </c>
    </row>
    <row r="131" spans="1:16" x14ac:dyDescent="0.35">
      <c r="A131" s="1">
        <v>46316</v>
      </c>
      <c r="B131">
        <v>2026</v>
      </c>
      <c r="D131">
        <v>148</v>
      </c>
      <c r="E131" t="s">
        <v>189</v>
      </c>
      <c r="F131" t="s">
        <v>190</v>
      </c>
      <c r="G131" t="s">
        <v>205</v>
      </c>
      <c r="H131" t="s">
        <v>219</v>
      </c>
      <c r="I131">
        <v>1088</v>
      </c>
      <c r="J131">
        <v>0</v>
      </c>
      <c r="K131">
        <v>1088</v>
      </c>
      <c r="L131">
        <v>4.53</v>
      </c>
      <c r="M131">
        <v>0</v>
      </c>
      <c r="N131">
        <f>LineasPedidoCliente[[#This Row],[Pedidas]]*LineasPedidoCliente[[#This Row],[Precio]]</f>
        <v>4928.6400000000003</v>
      </c>
      <c r="O131">
        <v>4928.6400000000003</v>
      </c>
      <c r="P131">
        <v>0</v>
      </c>
    </row>
    <row r="132" spans="1:16" x14ac:dyDescent="0.35">
      <c r="A132" s="1">
        <v>46316</v>
      </c>
      <c r="B132">
        <v>2026</v>
      </c>
      <c r="D132">
        <v>148</v>
      </c>
      <c r="E132" t="s">
        <v>189</v>
      </c>
      <c r="F132" t="s">
        <v>190</v>
      </c>
      <c r="G132" t="s">
        <v>156</v>
      </c>
      <c r="H132" t="s">
        <v>220</v>
      </c>
      <c r="I132">
        <v>300</v>
      </c>
      <c r="J132">
        <v>0</v>
      </c>
      <c r="K132">
        <v>300</v>
      </c>
      <c r="L132">
        <v>12.83</v>
      </c>
      <c r="M132">
        <v>0</v>
      </c>
      <c r="N132">
        <f>LineasPedidoCliente[[#This Row],[Pedidas]]*LineasPedidoCliente[[#This Row],[Precio]]</f>
        <v>3849</v>
      </c>
      <c r="O132">
        <v>3849</v>
      </c>
      <c r="P132">
        <v>0</v>
      </c>
    </row>
    <row r="133" spans="1:16" x14ac:dyDescent="0.35">
      <c r="A133" s="1">
        <v>46316</v>
      </c>
      <c r="B133">
        <v>2026</v>
      </c>
      <c r="D133">
        <v>148</v>
      </c>
      <c r="E133" t="s">
        <v>189</v>
      </c>
      <c r="F133" t="s">
        <v>190</v>
      </c>
      <c r="G133" t="s">
        <v>206</v>
      </c>
      <c r="H133" t="s">
        <v>221</v>
      </c>
      <c r="I133">
        <v>648</v>
      </c>
      <c r="J133">
        <v>0</v>
      </c>
      <c r="K133">
        <v>648</v>
      </c>
      <c r="L133">
        <v>3.83</v>
      </c>
      <c r="M133">
        <v>0</v>
      </c>
      <c r="N133">
        <f>LineasPedidoCliente[[#This Row],[Pedidas]]*LineasPedidoCliente[[#This Row],[Precio]]</f>
        <v>2481.84</v>
      </c>
      <c r="O133">
        <v>2481.84</v>
      </c>
      <c r="P133">
        <v>0</v>
      </c>
    </row>
    <row r="134" spans="1:16" x14ac:dyDescent="0.35">
      <c r="A134" s="1">
        <v>46316</v>
      </c>
      <c r="B134">
        <v>2026</v>
      </c>
      <c r="D134">
        <v>891</v>
      </c>
      <c r="E134">
        <v>430000427</v>
      </c>
      <c r="F134" t="s">
        <v>30</v>
      </c>
      <c r="G134" t="s">
        <v>222</v>
      </c>
      <c r="H134" t="s">
        <v>225</v>
      </c>
      <c r="I134">
        <v>2772</v>
      </c>
      <c r="J134">
        <v>0</v>
      </c>
      <c r="K134">
        <v>2772</v>
      </c>
      <c r="L134">
        <v>3.23</v>
      </c>
      <c r="M134">
        <v>0</v>
      </c>
      <c r="N134">
        <f>LineasPedidoCliente[[#This Row],[Pedidas]]*LineasPedidoCliente[[#This Row],[Precio]]</f>
        <v>8953.56</v>
      </c>
      <c r="O134">
        <v>8953.56</v>
      </c>
      <c r="P134">
        <v>0</v>
      </c>
    </row>
    <row r="135" spans="1:16" x14ac:dyDescent="0.35">
      <c r="A135" s="1">
        <v>46316</v>
      </c>
      <c r="B135">
        <v>2026</v>
      </c>
      <c r="D135">
        <v>891</v>
      </c>
      <c r="E135">
        <v>430000427</v>
      </c>
      <c r="F135" t="s">
        <v>30</v>
      </c>
      <c r="G135" t="s">
        <v>223</v>
      </c>
      <c r="H135" t="s">
        <v>218</v>
      </c>
      <c r="I135">
        <v>1848</v>
      </c>
      <c r="J135">
        <v>0</v>
      </c>
      <c r="K135">
        <v>1848</v>
      </c>
      <c r="L135">
        <v>4.97</v>
      </c>
      <c r="M135">
        <v>0</v>
      </c>
      <c r="N135">
        <f>LineasPedidoCliente[[#This Row],[Pedidas]]*LineasPedidoCliente[[#This Row],[Precio]]</f>
        <v>9184.56</v>
      </c>
      <c r="O135">
        <v>9184.56</v>
      </c>
      <c r="P135">
        <v>0</v>
      </c>
    </row>
    <row r="136" spans="1:16" x14ac:dyDescent="0.35">
      <c r="A136" s="1">
        <v>46316</v>
      </c>
      <c r="B136">
        <v>2026</v>
      </c>
      <c r="D136">
        <v>891</v>
      </c>
      <c r="E136">
        <v>430000427</v>
      </c>
      <c r="F136" t="s">
        <v>30</v>
      </c>
      <c r="G136" t="s">
        <v>191</v>
      </c>
      <c r="H136" t="s">
        <v>207</v>
      </c>
      <c r="I136">
        <v>2772</v>
      </c>
      <c r="J136">
        <v>0</v>
      </c>
      <c r="K136">
        <v>2772</v>
      </c>
      <c r="L136">
        <v>3.29</v>
      </c>
      <c r="M136">
        <v>0</v>
      </c>
      <c r="N136">
        <f>LineasPedidoCliente[[#This Row],[Pedidas]]*LineasPedidoCliente[[#This Row],[Precio]]</f>
        <v>9119.8799999999992</v>
      </c>
      <c r="O136">
        <v>9119.8799999999992</v>
      </c>
      <c r="P136">
        <v>0</v>
      </c>
    </row>
    <row r="137" spans="1:16" x14ac:dyDescent="0.35">
      <c r="A137" s="1">
        <v>46316</v>
      </c>
      <c r="B137">
        <v>2026</v>
      </c>
      <c r="D137">
        <v>891</v>
      </c>
      <c r="E137">
        <v>430000427</v>
      </c>
      <c r="F137" t="s">
        <v>30</v>
      </c>
      <c r="G137" t="s">
        <v>194</v>
      </c>
      <c r="H137" t="s">
        <v>210</v>
      </c>
      <c r="I137">
        <v>1848</v>
      </c>
      <c r="J137">
        <v>0</v>
      </c>
      <c r="K137">
        <v>1848</v>
      </c>
      <c r="L137">
        <v>3.42</v>
      </c>
      <c r="M137">
        <v>0</v>
      </c>
      <c r="N137">
        <f>LineasPedidoCliente[[#This Row],[Pedidas]]*LineasPedidoCliente[[#This Row],[Precio]]</f>
        <v>6320.16</v>
      </c>
      <c r="O137">
        <v>6320.16</v>
      </c>
      <c r="P137">
        <v>0</v>
      </c>
    </row>
    <row r="138" spans="1:16" x14ac:dyDescent="0.35">
      <c r="A138" s="1">
        <v>46316</v>
      </c>
      <c r="B138">
        <v>2026</v>
      </c>
      <c r="D138">
        <v>891</v>
      </c>
      <c r="E138">
        <v>430000427</v>
      </c>
      <c r="F138" t="s">
        <v>30</v>
      </c>
      <c r="G138" t="s">
        <v>224</v>
      </c>
      <c r="H138" t="s">
        <v>226</v>
      </c>
      <c r="I138">
        <v>1920</v>
      </c>
      <c r="J138">
        <v>0</v>
      </c>
      <c r="K138">
        <v>1920</v>
      </c>
      <c r="L138">
        <v>3.29</v>
      </c>
      <c r="M138">
        <v>0</v>
      </c>
      <c r="N138">
        <f>LineasPedidoCliente[[#This Row],[Pedidas]]*LineasPedidoCliente[[#This Row],[Precio]]</f>
        <v>6316.8</v>
      </c>
      <c r="O138">
        <v>6316.8</v>
      </c>
      <c r="P138">
        <v>0</v>
      </c>
    </row>
    <row r="139" spans="1:16" x14ac:dyDescent="0.35">
      <c r="A139" s="1">
        <v>46316</v>
      </c>
      <c r="B139">
        <v>2026</v>
      </c>
      <c r="D139">
        <v>892</v>
      </c>
      <c r="E139">
        <v>430000019</v>
      </c>
      <c r="F139" t="s">
        <v>18</v>
      </c>
      <c r="G139" t="s">
        <v>227</v>
      </c>
      <c r="H139" t="s">
        <v>228</v>
      </c>
      <c r="I139">
        <v>600</v>
      </c>
      <c r="J139">
        <v>0</v>
      </c>
      <c r="K139">
        <v>600</v>
      </c>
      <c r="L139">
        <v>3.07</v>
      </c>
      <c r="M139">
        <v>0</v>
      </c>
      <c r="N139">
        <f>LineasPedidoCliente[[#This Row],[Pedidas]]*LineasPedidoCliente[[#This Row],[Precio]]</f>
        <v>1842</v>
      </c>
      <c r="O139">
        <f>LineasPedidoCliente[[#This Row],[Pedidas]]*LineasPedidoCliente[[#This Row],[Precio]]</f>
        <v>1842</v>
      </c>
      <c r="P139">
        <v>0</v>
      </c>
    </row>
    <row r="140" spans="1:16" x14ac:dyDescent="0.35">
      <c r="A140" s="1">
        <v>46317</v>
      </c>
      <c r="B140">
        <v>2026</v>
      </c>
      <c r="D140">
        <v>893</v>
      </c>
      <c r="E140" t="s">
        <v>51</v>
      </c>
      <c r="F140" t="s">
        <v>52</v>
      </c>
      <c r="G140" t="s">
        <v>129</v>
      </c>
      <c r="H140" t="s">
        <v>130</v>
      </c>
      <c r="I140">
        <v>300</v>
      </c>
      <c r="J140">
        <v>300</v>
      </c>
      <c r="K140">
        <v>0</v>
      </c>
      <c r="L140">
        <v>4.8600000000000003</v>
      </c>
      <c r="M140">
        <v>0</v>
      </c>
      <c r="N140">
        <f>LineasPedidoCliente[[#This Row],[Precio]]*LineasPedidoCliente[[#This Row],[Pedidas]]</f>
        <v>1458</v>
      </c>
      <c r="O140">
        <v>0</v>
      </c>
      <c r="P140">
        <v>2</v>
      </c>
    </row>
    <row r="141" spans="1:16" x14ac:dyDescent="0.35">
      <c r="A141" s="1">
        <v>46317</v>
      </c>
      <c r="B141">
        <v>2026</v>
      </c>
      <c r="D141">
        <v>893</v>
      </c>
      <c r="E141" t="s">
        <v>51</v>
      </c>
      <c r="F141" t="s">
        <v>52</v>
      </c>
      <c r="G141" t="s">
        <v>151</v>
      </c>
      <c r="H141" t="s">
        <v>152</v>
      </c>
      <c r="I141">
        <v>300</v>
      </c>
      <c r="J141">
        <v>300</v>
      </c>
      <c r="K141">
        <v>0</v>
      </c>
      <c r="L141">
        <v>2.2599999999999998</v>
      </c>
      <c r="M141">
        <v>0</v>
      </c>
      <c r="N141">
        <f>LineasPedidoCliente[[#This Row],[Precio]]*LineasPedidoCliente[[#This Row],[Pedidas]]</f>
        <v>677.99999999999989</v>
      </c>
      <c r="O141">
        <v>0</v>
      </c>
      <c r="P141">
        <v>2</v>
      </c>
    </row>
    <row r="142" spans="1:16" x14ac:dyDescent="0.35">
      <c r="A142" s="1">
        <v>46317</v>
      </c>
      <c r="B142">
        <v>2026</v>
      </c>
      <c r="D142">
        <v>149</v>
      </c>
      <c r="E142" t="s">
        <v>229</v>
      </c>
      <c r="F142" t="s">
        <v>230</v>
      </c>
      <c r="G142" t="s">
        <v>231</v>
      </c>
      <c r="H142" t="s">
        <v>236</v>
      </c>
      <c r="I142">
        <v>2000</v>
      </c>
      <c r="J142">
        <v>0</v>
      </c>
      <c r="K142">
        <v>2000</v>
      </c>
      <c r="L142">
        <v>2.92</v>
      </c>
      <c r="M142">
        <v>0</v>
      </c>
      <c r="N142">
        <f>LineasPedidoCliente[[#This Row],[Pedidas]]*LineasPedidoCliente[[#This Row],[Precio]]</f>
        <v>5840</v>
      </c>
      <c r="O142">
        <v>5840</v>
      </c>
      <c r="P142">
        <v>0</v>
      </c>
    </row>
    <row r="143" spans="1:16" x14ac:dyDescent="0.35">
      <c r="A143" s="1">
        <v>46317</v>
      </c>
      <c r="B143">
        <v>2026</v>
      </c>
      <c r="D143">
        <v>149</v>
      </c>
      <c r="E143" t="s">
        <v>229</v>
      </c>
      <c r="F143" t="s">
        <v>230</v>
      </c>
      <c r="G143" t="s">
        <v>232</v>
      </c>
      <c r="H143" t="s">
        <v>237</v>
      </c>
      <c r="I143">
        <v>3000</v>
      </c>
      <c r="J143">
        <v>0</v>
      </c>
      <c r="K143">
        <v>3000</v>
      </c>
      <c r="L143">
        <v>3.36</v>
      </c>
      <c r="M143">
        <v>0</v>
      </c>
      <c r="N143">
        <f>LineasPedidoCliente[[#This Row],[Pedidas]]*LineasPedidoCliente[[#This Row],[Precio]]</f>
        <v>10080</v>
      </c>
      <c r="O143">
        <v>10080</v>
      </c>
      <c r="P143">
        <v>0</v>
      </c>
    </row>
    <row r="144" spans="1:16" x14ac:dyDescent="0.35">
      <c r="A144" s="1">
        <v>46317</v>
      </c>
      <c r="B144">
        <v>2026</v>
      </c>
      <c r="D144">
        <v>149</v>
      </c>
      <c r="E144" t="s">
        <v>229</v>
      </c>
      <c r="F144" t="s">
        <v>230</v>
      </c>
      <c r="G144" t="s">
        <v>233</v>
      </c>
      <c r="H144" t="s">
        <v>238</v>
      </c>
      <c r="I144">
        <v>2200</v>
      </c>
      <c r="J144">
        <v>0</v>
      </c>
      <c r="K144">
        <v>2200</v>
      </c>
      <c r="L144">
        <v>2.5299999999999998</v>
      </c>
      <c r="M144">
        <v>0</v>
      </c>
      <c r="N144">
        <f>LineasPedidoCliente[[#This Row],[Pedidas]]*LineasPedidoCliente[[#This Row],[Precio]]</f>
        <v>5566</v>
      </c>
      <c r="O144">
        <v>5566</v>
      </c>
      <c r="P144">
        <v>0</v>
      </c>
    </row>
    <row r="145" spans="1:16" x14ac:dyDescent="0.35">
      <c r="A145" s="1">
        <v>46317</v>
      </c>
      <c r="B145">
        <v>2026</v>
      </c>
      <c r="D145">
        <v>149</v>
      </c>
      <c r="E145" t="s">
        <v>229</v>
      </c>
      <c r="F145" t="s">
        <v>230</v>
      </c>
      <c r="G145" t="s">
        <v>234</v>
      </c>
      <c r="H145" t="s">
        <v>239</v>
      </c>
      <c r="I145">
        <v>2000</v>
      </c>
      <c r="J145">
        <v>0</v>
      </c>
      <c r="K145">
        <v>2000</v>
      </c>
      <c r="L145">
        <v>2.27</v>
      </c>
      <c r="M145">
        <v>0</v>
      </c>
      <c r="N145">
        <f>LineasPedidoCliente[[#This Row],[Pedidas]]*LineasPedidoCliente[[#This Row],[Precio]]</f>
        <v>4540</v>
      </c>
      <c r="O145">
        <v>4540</v>
      </c>
      <c r="P145">
        <v>0</v>
      </c>
    </row>
    <row r="146" spans="1:16" x14ac:dyDescent="0.35">
      <c r="A146" s="1">
        <v>46317</v>
      </c>
      <c r="B146">
        <v>2026</v>
      </c>
      <c r="D146">
        <v>149</v>
      </c>
      <c r="E146" t="s">
        <v>229</v>
      </c>
      <c r="F146" t="s">
        <v>230</v>
      </c>
      <c r="G146" t="s">
        <v>235</v>
      </c>
      <c r="H146" t="s">
        <v>240</v>
      </c>
      <c r="I146">
        <v>1000</v>
      </c>
      <c r="J146">
        <v>0</v>
      </c>
      <c r="K146">
        <v>1000</v>
      </c>
      <c r="L146">
        <v>6.1</v>
      </c>
      <c r="M146">
        <v>0</v>
      </c>
      <c r="N146">
        <f>LineasPedidoCliente[[#This Row],[Pedidas]]*LineasPedidoCliente[[#This Row],[Precio]]</f>
        <v>6100</v>
      </c>
      <c r="O146">
        <v>6100</v>
      </c>
      <c r="P146">
        <v>0</v>
      </c>
    </row>
    <row r="147" spans="1:16" x14ac:dyDescent="0.35">
      <c r="A147" s="1">
        <v>46317</v>
      </c>
      <c r="B147">
        <v>2026</v>
      </c>
      <c r="D147">
        <v>149</v>
      </c>
      <c r="E147" t="s">
        <v>229</v>
      </c>
      <c r="F147" t="s">
        <v>230</v>
      </c>
      <c r="G147" t="s">
        <v>105</v>
      </c>
      <c r="H147" t="s">
        <v>241</v>
      </c>
      <c r="I147">
        <v>11000</v>
      </c>
      <c r="J147">
        <v>0</v>
      </c>
      <c r="K147">
        <v>11000</v>
      </c>
      <c r="L147">
        <v>1.65</v>
      </c>
      <c r="M147">
        <v>0</v>
      </c>
      <c r="N147">
        <f>LineasPedidoCliente[[#This Row],[Pedidas]]*LineasPedidoCliente[[#This Row],[Precio]]</f>
        <v>18150</v>
      </c>
      <c r="O147">
        <v>18150</v>
      </c>
      <c r="P147">
        <v>0</v>
      </c>
    </row>
    <row r="148" spans="1:16" x14ac:dyDescent="0.35">
      <c r="A148" s="1">
        <v>46317</v>
      </c>
      <c r="B148">
        <v>2026</v>
      </c>
      <c r="D148">
        <v>149</v>
      </c>
      <c r="E148" t="s">
        <v>229</v>
      </c>
      <c r="F148" t="s">
        <v>230</v>
      </c>
      <c r="G148" t="s">
        <v>232</v>
      </c>
      <c r="H148" t="s">
        <v>237</v>
      </c>
      <c r="I148">
        <v>1000</v>
      </c>
      <c r="J148">
        <v>0</v>
      </c>
      <c r="K148">
        <v>1000</v>
      </c>
      <c r="L148">
        <v>3.36</v>
      </c>
      <c r="M148">
        <v>0</v>
      </c>
      <c r="N148">
        <f>LineasPedidoCliente[[#This Row],[Precio]]*LineasPedidoCliente[[#This Row],[Pedidas]]</f>
        <v>3360</v>
      </c>
      <c r="O148">
        <v>3360</v>
      </c>
      <c r="P148">
        <v>0</v>
      </c>
    </row>
    <row r="149" spans="1:16" x14ac:dyDescent="0.35">
      <c r="A149" s="1">
        <v>46317</v>
      </c>
      <c r="B149">
        <v>2026</v>
      </c>
      <c r="D149">
        <v>149</v>
      </c>
      <c r="E149" t="s">
        <v>229</v>
      </c>
      <c r="F149" t="s">
        <v>230</v>
      </c>
      <c r="G149" t="s">
        <v>231</v>
      </c>
      <c r="H149" t="s">
        <v>236</v>
      </c>
      <c r="I149">
        <v>2000</v>
      </c>
      <c r="J149">
        <v>0</v>
      </c>
      <c r="K149">
        <v>2000</v>
      </c>
      <c r="L149">
        <v>2.92</v>
      </c>
      <c r="M149">
        <v>0</v>
      </c>
      <c r="N149">
        <f>LineasPedidoCliente[[#This Row],[Precio]]*LineasPedidoCliente[[#This Row],[Pedidas]]</f>
        <v>5840</v>
      </c>
      <c r="O149">
        <v>5840</v>
      </c>
      <c r="P149">
        <v>0</v>
      </c>
    </row>
    <row r="150" spans="1:16" x14ac:dyDescent="0.35">
      <c r="A150" s="1">
        <v>46317</v>
      </c>
      <c r="B150">
        <v>2026</v>
      </c>
      <c r="D150">
        <v>149</v>
      </c>
      <c r="E150" t="s">
        <v>229</v>
      </c>
      <c r="F150" t="s">
        <v>230</v>
      </c>
      <c r="G150" t="s">
        <v>242</v>
      </c>
      <c r="H150" t="s">
        <v>246</v>
      </c>
      <c r="I150">
        <v>1000</v>
      </c>
      <c r="J150">
        <v>0</v>
      </c>
      <c r="K150">
        <v>1000</v>
      </c>
      <c r="L150">
        <v>3.37</v>
      </c>
      <c r="M150">
        <v>0</v>
      </c>
      <c r="N150">
        <f>LineasPedidoCliente[[#This Row],[Precio]]*LineasPedidoCliente[[#This Row],[Pedidas]]</f>
        <v>3370</v>
      </c>
      <c r="O150">
        <v>3370</v>
      </c>
      <c r="P150">
        <v>0</v>
      </c>
    </row>
    <row r="151" spans="1:16" x14ac:dyDescent="0.35">
      <c r="A151" s="1">
        <v>46317</v>
      </c>
      <c r="B151">
        <v>2026</v>
      </c>
      <c r="D151">
        <v>149</v>
      </c>
      <c r="E151" t="s">
        <v>229</v>
      </c>
      <c r="F151" t="s">
        <v>230</v>
      </c>
      <c r="G151" t="s">
        <v>243</v>
      </c>
      <c r="H151" t="s">
        <v>247</v>
      </c>
      <c r="I151">
        <v>1000</v>
      </c>
      <c r="J151">
        <v>0</v>
      </c>
      <c r="K151">
        <v>1000</v>
      </c>
      <c r="L151">
        <v>2.92</v>
      </c>
      <c r="M151">
        <v>0</v>
      </c>
      <c r="N151">
        <f>LineasPedidoCliente[[#This Row],[Precio]]*LineasPedidoCliente[[#This Row],[Pedidas]]</f>
        <v>2920</v>
      </c>
      <c r="O151">
        <v>2920</v>
      </c>
      <c r="P151">
        <v>0</v>
      </c>
    </row>
    <row r="152" spans="1:16" x14ac:dyDescent="0.35">
      <c r="A152" s="1">
        <v>46317</v>
      </c>
      <c r="B152">
        <v>2026</v>
      </c>
      <c r="D152">
        <v>149</v>
      </c>
      <c r="E152" t="s">
        <v>229</v>
      </c>
      <c r="F152" t="s">
        <v>230</v>
      </c>
      <c r="G152" t="s">
        <v>244</v>
      </c>
      <c r="H152" t="s">
        <v>248</v>
      </c>
      <c r="I152">
        <v>2000</v>
      </c>
      <c r="J152">
        <v>0</v>
      </c>
      <c r="K152">
        <v>2000</v>
      </c>
      <c r="L152">
        <v>2.88</v>
      </c>
      <c r="M152">
        <v>0</v>
      </c>
      <c r="N152">
        <f>LineasPedidoCliente[[#This Row],[Precio]]*LineasPedidoCliente[[#This Row],[Pedidas]]</f>
        <v>5760</v>
      </c>
      <c r="O152">
        <v>5760</v>
      </c>
      <c r="P152">
        <v>0</v>
      </c>
    </row>
    <row r="153" spans="1:16" x14ac:dyDescent="0.35">
      <c r="A153" s="1">
        <v>46317</v>
      </c>
      <c r="B153">
        <v>2026</v>
      </c>
      <c r="D153">
        <v>149</v>
      </c>
      <c r="E153" t="s">
        <v>229</v>
      </c>
      <c r="F153" t="s">
        <v>230</v>
      </c>
      <c r="G153" t="s">
        <v>235</v>
      </c>
      <c r="H153" t="s">
        <v>240</v>
      </c>
      <c r="I153">
        <v>1000</v>
      </c>
      <c r="J153">
        <v>0</v>
      </c>
      <c r="K153">
        <v>1000</v>
      </c>
      <c r="L153">
        <v>6.1</v>
      </c>
      <c r="M153">
        <v>0</v>
      </c>
      <c r="N153">
        <f>LineasPedidoCliente[[#This Row],[Precio]]*LineasPedidoCliente[[#This Row],[Pedidas]]</f>
        <v>6100</v>
      </c>
      <c r="O153">
        <v>6100</v>
      </c>
      <c r="P153">
        <v>0</v>
      </c>
    </row>
    <row r="154" spans="1:16" x14ac:dyDescent="0.35">
      <c r="A154" s="1">
        <v>46317</v>
      </c>
      <c r="B154">
        <v>2026</v>
      </c>
      <c r="D154">
        <v>149</v>
      </c>
      <c r="E154" t="s">
        <v>229</v>
      </c>
      <c r="F154" t="s">
        <v>230</v>
      </c>
      <c r="G154" t="s">
        <v>150</v>
      </c>
      <c r="H154" t="s">
        <v>249</v>
      </c>
      <c r="I154">
        <v>640</v>
      </c>
      <c r="J154">
        <v>0</v>
      </c>
      <c r="K154">
        <v>640</v>
      </c>
      <c r="L154">
        <v>3.72</v>
      </c>
      <c r="M154">
        <v>0</v>
      </c>
      <c r="N154">
        <f>LineasPedidoCliente[[#This Row],[Precio]]*LineasPedidoCliente[[#This Row],[Pedidas]]</f>
        <v>2380.8000000000002</v>
      </c>
      <c r="O154">
        <v>2380.8000000000002</v>
      </c>
      <c r="P154">
        <v>0</v>
      </c>
    </row>
    <row r="155" spans="1:16" x14ac:dyDescent="0.35">
      <c r="A155" s="1">
        <v>46317</v>
      </c>
      <c r="B155">
        <v>2026</v>
      </c>
      <c r="D155">
        <v>149</v>
      </c>
      <c r="E155" t="s">
        <v>229</v>
      </c>
      <c r="F155" t="s">
        <v>230</v>
      </c>
      <c r="G155" t="s">
        <v>245</v>
      </c>
      <c r="H155" t="s">
        <v>250</v>
      </c>
      <c r="I155">
        <v>1000</v>
      </c>
      <c r="J155">
        <v>0</v>
      </c>
      <c r="K155">
        <v>1000</v>
      </c>
      <c r="L155">
        <v>4.6900000000000004</v>
      </c>
      <c r="M155">
        <v>0</v>
      </c>
      <c r="N155">
        <f>LineasPedidoCliente[[#This Row],[Precio]]*LineasPedidoCliente[[#This Row],[Pedidas]]</f>
        <v>4690</v>
      </c>
      <c r="O155">
        <v>4690</v>
      </c>
      <c r="P155">
        <v>0</v>
      </c>
    </row>
    <row r="156" spans="1:16" x14ac:dyDescent="0.35">
      <c r="A156" s="1">
        <v>46317</v>
      </c>
      <c r="B156">
        <v>2026</v>
      </c>
      <c r="D156">
        <v>149</v>
      </c>
      <c r="E156" t="s">
        <v>229</v>
      </c>
      <c r="F156" t="s">
        <v>230</v>
      </c>
      <c r="G156" t="s">
        <v>105</v>
      </c>
      <c r="H156" t="s">
        <v>241</v>
      </c>
      <c r="I156">
        <v>11000</v>
      </c>
      <c r="J156">
        <v>0</v>
      </c>
      <c r="K156">
        <v>11000</v>
      </c>
      <c r="L156">
        <v>1.65</v>
      </c>
      <c r="M156">
        <v>0</v>
      </c>
      <c r="N156">
        <f>LineasPedidoCliente[[#This Row],[Precio]]*LineasPedidoCliente[[#This Row],[Pedidas]]</f>
        <v>18150</v>
      </c>
      <c r="O156">
        <v>18150</v>
      </c>
      <c r="P156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AA0605-CC66-4772-B072-630BD14263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LineasPedidoCliente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2026-10-20T05:43:34Z</dcterms:created>
  <dcterms:modified xsi:type="dcterms:W3CDTF">2026-10-23T06:56:09Z</dcterms:modified>
</cp:coreProperties>
</file>