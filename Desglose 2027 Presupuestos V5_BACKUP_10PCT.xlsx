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5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6"/>
  <sheetViews>
    <sheetView showGridLines="1"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DEFINITIVA V5)</t>
        </is>
      </c>
    </row>
    <row r="2" ht="20" customHeight="1">
      <c r="B2" s="2" t="inlineStr">
        <is>
          <t>Periodo: 2027 | Presupuesto V5: Cifra Neta 17.738.160,29 €, Salarios 1,806 M€, SS 420k € y Transporte Exportación (305.223,30 €) reincorporado en Gasto (624000002) e Ingreso Repercutido (700001624) con impacto 0 en EBITDA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V3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1167113.16</v>
      </c>
      <c r="L5" s="8" t="n">
        <v>1890513.74</v>
      </c>
      <c r="M5" s="8" t="n">
        <v>1813463.02</v>
      </c>
      <c r="N5" s="8" t="n">
        <v>1459999.87</v>
      </c>
      <c r="O5" s="8" t="n">
        <v>2397051.31</v>
      </c>
      <c r="P5" s="8" t="n">
        <v>2377104.03</v>
      </c>
      <c r="Q5" s="8" t="n">
        <v>1508195.84</v>
      </c>
      <c r="R5" s="8" t="n">
        <v>962502.99</v>
      </c>
      <c r="S5" s="8" t="n">
        <v>559096.5</v>
      </c>
      <c r="T5" s="8" t="n">
        <v>935028.24</v>
      </c>
      <c r="U5" s="8" t="n">
        <v>1445320.77</v>
      </c>
      <c r="V5" s="8" t="n">
        <v>1585381.72</v>
      </c>
      <c r="W5" s="9">
        <f>SUM(K5:V5)</f>
        <v/>
      </c>
      <c r="X5" s="10" t="inlineStr">
        <is>
          <t>Presupuesto de Ventas Brutas 2027 ajustado (18.100.771,19 €) para obtener exactamente 17.738.160,29 € de Cifra Neta tras rappels (397k €) y envases (34k €).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29809.2</v>
      </c>
      <c r="L8" s="8" t="n">
        <v>21246.7</v>
      </c>
      <c r="M8" s="8" t="n">
        <v>19638.3</v>
      </c>
      <c r="N8" s="8" t="n">
        <v>8004.2</v>
      </c>
      <c r="O8" s="8" t="n">
        <v>38718.8</v>
      </c>
      <c r="P8" s="8" t="n">
        <v>33492</v>
      </c>
      <c r="Q8" s="8" t="n">
        <v>13212.8</v>
      </c>
      <c r="R8" s="8" t="n">
        <v>18509.6</v>
      </c>
      <c r="S8" s="8" t="n">
        <v>24148.9</v>
      </c>
      <c r="T8" s="8" t="n">
        <v>23411.3</v>
      </c>
      <c r="U8" s="8" t="n">
        <v>40650.7</v>
      </c>
      <c r="V8" s="8" t="n">
        <v>34380.8</v>
      </c>
      <c r="W8" s="9">
        <f>SUM(K8:V8)</f>
        <v/>
      </c>
      <c r="X8" s="10" t="inlineStr">
        <is>
          <t>Según presupuesto de transporte 2027: facturación y repercusión íntegra del transporte de exportación al cliente (+305.223,30 €). Efecto compensado al 100% con el gasto 624000002 (impacto 0 en EBITDA).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-25602.57</v>
      </c>
      <c r="L18" s="8" t="n">
        <v>-41471.56</v>
      </c>
      <c r="M18" s="8" t="n">
        <v>-39781.32</v>
      </c>
      <c r="N18" s="8" t="n">
        <v>-32027.52</v>
      </c>
      <c r="O18" s="8" t="n">
        <v>-52583.3</v>
      </c>
      <c r="P18" s="8" t="n">
        <v>-52145.72</v>
      </c>
      <c r="Q18" s="8" t="n">
        <v>-33084.78</v>
      </c>
      <c r="R18" s="8" t="n">
        <v>-21114.1</v>
      </c>
      <c r="S18" s="8" t="n">
        <v>-12264.71</v>
      </c>
      <c r="T18" s="8" t="n">
        <v>-20511.4</v>
      </c>
      <c r="U18" s="8" t="n">
        <v>-31705.51</v>
      </c>
      <c r="V18" s="8" t="n">
        <v>-34777.98</v>
      </c>
      <c r="W18" s="9">
        <f>SUM(K18:V18)</f>
        <v/>
      </c>
      <c r="X18" s="10" t="inlineStr">
        <is>
          <t>Provisión de rappels comerciales 2027: 2,19% s/ventas brutas (-397.070,47 €), cuadrando la Cifra Neta de Negocios en 17.738.160,29 € exactos.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-127379.94</v>
      </c>
      <c r="L43" s="8" t="n">
        <v>-127379.94</v>
      </c>
      <c r="M43" s="8" t="n">
        <v>-127379.94</v>
      </c>
      <c r="N43" s="8" t="n">
        <v>-127379.94</v>
      </c>
      <c r="O43" s="8" t="n">
        <v>-127379.94</v>
      </c>
      <c r="P43" s="8" t="n">
        <v>-127379.94</v>
      </c>
      <c r="Q43" s="8" t="n">
        <v>-127379.94</v>
      </c>
      <c r="R43" s="8" t="n">
        <v>-127379.94</v>
      </c>
      <c r="S43" s="8" t="n">
        <v>-127379.94</v>
      </c>
      <c r="T43" s="8" t="n">
        <v>-127379.94</v>
      </c>
      <c r="U43" s="8" t="n">
        <v>-127379.94</v>
      </c>
      <c r="V43" s="8" t="n">
        <v>-404896.66</v>
      </c>
      <c r="W43" s="9">
        <f>SUM(K43:V43)</f>
        <v/>
      </c>
      <c r="X43" s="10" t="inlineStr">
        <is>
          <t>Sueldos y salarios definitivos 2027 (V3): -1.806.076,00 € brutos. Reparto mensual proporcional al histórico: -127.379,94 €/mes (Ene-Nov) y -404.896,66 € en Dic (pagas extras y regularización).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-35002.8</v>
      </c>
      <c r="L44" s="8" t="n">
        <v>-35002.8</v>
      </c>
      <c r="M44" s="8" t="n">
        <v>-35002.8</v>
      </c>
      <c r="N44" s="8" t="n">
        <v>-35002.8</v>
      </c>
      <c r="O44" s="8" t="n">
        <v>-35002.8</v>
      </c>
      <c r="P44" s="8" t="n">
        <v>-35002.8</v>
      </c>
      <c r="Q44" s="8" t="n">
        <v>-35002.8</v>
      </c>
      <c r="R44" s="8" t="n">
        <v>-35002.8</v>
      </c>
      <c r="S44" s="8" t="n">
        <v>-35002.8</v>
      </c>
      <c r="T44" s="8" t="n">
        <v>-35002.8</v>
      </c>
      <c r="U44" s="8" t="n">
        <v>-35002.8</v>
      </c>
      <c r="V44" s="8" t="n">
        <v>-35002.8</v>
      </c>
      <c r="W44" s="9">
        <f>SUM(K44:V44)</f>
        <v/>
      </c>
      <c r="X44" s="10" t="inlineStr">
        <is>
          <t>Seguridad Social a cargo de la empresa definitiva 2027 (V3): -420.033,60 €. Reparto lineal uniforme: -35.002,80 €/mes.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0</v>
      </c>
      <c r="L94" s="8" t="n">
        <v>0</v>
      </c>
      <c r="M94" s="8" t="n">
        <v>0</v>
      </c>
      <c r="N94" s="8" t="n">
        <v>-554.4</v>
      </c>
      <c r="O94" s="8" t="n">
        <v>0</v>
      </c>
      <c r="P94" s="8" t="n">
        <v>0</v>
      </c>
      <c r="Q94" s="8" t="n">
        <v>0</v>
      </c>
      <c r="R94" s="8" t="n">
        <v>-1050</v>
      </c>
      <c r="S94" s="8" t="n">
        <v>-840</v>
      </c>
      <c r="T94" s="8" t="n">
        <v>-3150</v>
      </c>
      <c r="U94" s="8" t="n">
        <v>0</v>
      </c>
      <c r="V94" s="8" t="n">
        <v>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0</v>
      </c>
      <c r="M97" s="8" t="n">
        <v>0</v>
      </c>
      <c r="N97" s="8" t="n">
        <v>-630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-3885</v>
      </c>
      <c r="T97" s="8" t="n">
        <v>-1155</v>
      </c>
      <c r="U97" s="8" t="n">
        <v>0</v>
      </c>
      <c r="V97" s="8" t="n">
        <v>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0</v>
      </c>
      <c r="O103" s="8" t="n">
        <v>-1610</v>
      </c>
      <c r="P103" s="8" t="n">
        <v>-1268</v>
      </c>
      <c r="Q103" s="8" t="n">
        <v>0</v>
      </c>
      <c r="R103" s="8" t="n">
        <v>0</v>
      </c>
      <c r="S103" s="8" t="n">
        <v>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-29809.2</v>
      </c>
      <c r="L130" s="8" t="n">
        <v>-21246.7</v>
      </c>
      <c r="M130" s="8" t="n">
        <v>-19638.3</v>
      </c>
      <c r="N130" s="8" t="n">
        <v>-8004.2</v>
      </c>
      <c r="O130" s="8" t="n">
        <v>-38718.8</v>
      </c>
      <c r="P130" s="8" t="n">
        <v>-33492</v>
      </c>
      <c r="Q130" s="8" t="n">
        <v>-13212.8</v>
      </c>
      <c r="R130" s="8" t="n">
        <v>-18509.6</v>
      </c>
      <c r="S130" s="8" t="n">
        <v>-24148.9</v>
      </c>
      <c r="T130" s="8" t="n">
        <v>-23411.3</v>
      </c>
      <c r="U130" s="8" t="n">
        <v>-40650.7</v>
      </c>
      <c r="V130" s="8" t="n">
        <v>-34380.8</v>
      </c>
      <c r="W130" s="9">
        <f>SUM(K130:V130)</f>
        <v/>
      </c>
      <c r="X130" s="10" t="inlineStr">
        <is>
          <t>Según presupuesto de transporte 2027: coste de transporte internacional de exportación (-305.223,30 €). Repercutido 1:1 en factura al cliente mediante cuenta 700001624 (impacto 0 en EBITDA).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-515</v>
      </c>
      <c r="R158" s="8" t="n">
        <v>0</v>
      </c>
      <c r="S158" s="8" t="n">
        <v>-8625</v>
      </c>
      <c r="T158" s="8" t="n">
        <v>0</v>
      </c>
      <c r="U158" s="8" t="n">
        <v>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0</v>
      </c>
      <c r="M164" s="8" t="n">
        <v>0</v>
      </c>
      <c r="N164" s="8" t="n">
        <v>-600</v>
      </c>
      <c r="O164" s="8" t="n">
        <v>0</v>
      </c>
      <c r="P164" s="8" t="n">
        <v>0</v>
      </c>
      <c r="Q164" s="8" t="n">
        <v>-600</v>
      </c>
      <c r="R164" s="8" t="n">
        <v>0</v>
      </c>
      <c r="S164" s="8" t="n">
        <v>0</v>
      </c>
      <c r="T164" s="8" t="n">
        <v>0</v>
      </c>
      <c r="U164" s="8" t="n">
        <v>-600</v>
      </c>
      <c r="V164" s="8" t="n">
        <v>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-4434.58</v>
      </c>
      <c r="L169" s="8" t="n">
        <v>-4434.58</v>
      </c>
      <c r="M169" s="8" t="n">
        <v>-4434.58</v>
      </c>
      <c r="N169" s="8" t="n">
        <v>-4434.58</v>
      </c>
      <c r="O169" s="8" t="n">
        <v>-4434.58</v>
      </c>
      <c r="P169" s="8" t="n">
        <v>-4434.58</v>
      </c>
      <c r="Q169" s="8" t="n">
        <v>-4434.58</v>
      </c>
      <c r="R169" s="8" t="n">
        <v>-4434.58</v>
      </c>
      <c r="S169" s="8" t="n">
        <v>-4434.58</v>
      </c>
      <c r="T169" s="8" t="n">
        <v>-4434.58</v>
      </c>
      <c r="U169" s="8" t="n">
        <v>-4434.58</v>
      </c>
      <c r="V169" s="8" t="n">
        <v>-4434.62</v>
      </c>
      <c r="W169" s="9" t="n">
        <v>-53215</v>
      </c>
      <c r="X169" s="10" t="inlineStr">
        <is>
          <t>Presupuesto anual formación no bonificada (53.215,00 €) con reparto mensual lineal homogéneo.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-1500</v>
      </c>
      <c r="L173" s="8" t="n">
        <v>-2000</v>
      </c>
      <c r="M173" s="8" t="n">
        <v>-2000</v>
      </c>
      <c r="N173" s="8" t="n">
        <v>-2000</v>
      </c>
      <c r="O173" s="8" t="n">
        <v>-2000</v>
      </c>
      <c r="P173" s="8" t="n">
        <v>-2000</v>
      </c>
      <c r="Q173" s="8" t="n">
        <v>-2000</v>
      </c>
      <c r="R173" s="8" t="n">
        <v>-1000</v>
      </c>
      <c r="S173" s="8" t="n">
        <v>-2000</v>
      </c>
      <c r="T173" s="8" t="n">
        <v>-2000</v>
      </c>
      <c r="U173" s="8" t="n">
        <v>-2000</v>
      </c>
      <c r="V173" s="8" t="n">
        <v>-1500</v>
      </c>
      <c r="W173" s="9" t="n">
        <v>-22000</v>
      </c>
      <c r="X173" s="10" t="inlineStr">
        <is>
          <t>Gastos comerciales Pere Porta: 2,000.00 €/mes (Agosto al 50%, Enero y Diciembre al 75%). Total año: 22,000.00 €.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-1500</v>
      </c>
      <c r="L174" s="8" t="n">
        <v>-2000</v>
      </c>
      <c r="M174" s="8" t="n">
        <v>-2000</v>
      </c>
      <c r="N174" s="8" t="n">
        <v>-2000</v>
      </c>
      <c r="O174" s="8" t="n">
        <v>-2000</v>
      </c>
      <c r="P174" s="8" t="n">
        <v>-2000</v>
      </c>
      <c r="Q174" s="8" t="n">
        <v>-2000</v>
      </c>
      <c r="R174" s="8" t="n">
        <v>-1000</v>
      </c>
      <c r="S174" s="8" t="n">
        <v>-2000</v>
      </c>
      <c r="T174" s="8" t="n">
        <v>-2000</v>
      </c>
      <c r="U174" s="8" t="n">
        <v>-2000</v>
      </c>
      <c r="V174" s="8" t="n">
        <v>-1500</v>
      </c>
      <c r="W174" s="9" t="n">
        <v>-22000</v>
      </c>
      <c r="X174" s="10" t="inlineStr">
        <is>
          <t>Gastos comerciales Ricardo Perez: 2,000.00 €/mes (Agosto al 50%, Enero y Diciembre al 75%). Total año: 22,000.00 €.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-900</v>
      </c>
      <c r="L175" s="8" t="n">
        <v>-1200</v>
      </c>
      <c r="M175" s="8" t="n">
        <v>-1200</v>
      </c>
      <c r="N175" s="8" t="n">
        <v>-1200</v>
      </c>
      <c r="O175" s="8" t="n">
        <v>-1200</v>
      </c>
      <c r="P175" s="8" t="n">
        <v>-1200</v>
      </c>
      <c r="Q175" s="8" t="n">
        <v>-1200</v>
      </c>
      <c r="R175" s="8" t="n">
        <v>-600</v>
      </c>
      <c r="S175" s="8" t="n">
        <v>-1200</v>
      </c>
      <c r="T175" s="8" t="n">
        <v>-1200</v>
      </c>
      <c r="U175" s="8" t="n">
        <v>-1200</v>
      </c>
      <c r="V175" s="8" t="n">
        <v>-900</v>
      </c>
      <c r="W175" s="9" t="n">
        <v>-13200</v>
      </c>
      <c r="X175" s="10" t="inlineStr">
        <is>
          <t>Gastos comerciales Javier Paredes: 1,200.00 €/mes (Agosto al 50%, Enero y Diciembre al 75%). Total año: 13,200.00 €.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-1500</v>
      </c>
      <c r="L176" s="8" t="n">
        <v>-2000</v>
      </c>
      <c r="M176" s="8" t="n">
        <v>-2000</v>
      </c>
      <c r="N176" s="8" t="n">
        <v>-2000</v>
      </c>
      <c r="O176" s="8" t="n">
        <v>-2000</v>
      </c>
      <c r="P176" s="8" t="n">
        <v>-2000</v>
      </c>
      <c r="Q176" s="8" t="n">
        <v>-2000</v>
      </c>
      <c r="R176" s="8" t="n">
        <v>-1000</v>
      </c>
      <c r="S176" s="8" t="n">
        <v>-2000</v>
      </c>
      <c r="T176" s="8" t="n">
        <v>-2000</v>
      </c>
      <c r="U176" s="8" t="n">
        <v>-2000</v>
      </c>
      <c r="V176" s="8" t="n">
        <v>-1500</v>
      </c>
      <c r="W176" s="9" t="n">
        <v>-22000</v>
      </c>
      <c r="X176" s="10" t="inlineStr">
        <is>
          <t>Gastos comerciales Garcia: 2,000.00 €/mes (Agosto al 50%, Enero y Diciembre al 75%). Total año: 22,000.00 €.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-450</v>
      </c>
      <c r="L177" s="8" t="n">
        <v>-600</v>
      </c>
      <c r="M177" s="8" t="n">
        <v>-600</v>
      </c>
      <c r="N177" s="8" t="n">
        <v>-600</v>
      </c>
      <c r="O177" s="8" t="n">
        <v>-600</v>
      </c>
      <c r="P177" s="8" t="n">
        <v>-600</v>
      </c>
      <c r="Q177" s="8" t="n">
        <v>-600</v>
      </c>
      <c r="R177" s="8" t="n">
        <v>-300</v>
      </c>
      <c r="S177" s="8" t="n">
        <v>-600</v>
      </c>
      <c r="T177" s="8" t="n">
        <v>-600</v>
      </c>
      <c r="U177" s="8" t="n">
        <v>-600</v>
      </c>
      <c r="V177" s="8" t="n">
        <v>-450</v>
      </c>
      <c r="W177" s="9" t="n">
        <v>-6600</v>
      </c>
      <c r="X177" s="10" t="inlineStr">
        <is>
          <t>Gastos comerciales Irene: 600.00 €/mes (Agosto al 50%, Enero y Diciembre al 75%). Total año: 6,600.00 €.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-450</v>
      </c>
      <c r="L180" s="8" t="n">
        <v>-600</v>
      </c>
      <c r="M180" s="8" t="n">
        <v>-600</v>
      </c>
      <c r="N180" s="8" t="n">
        <v>-600</v>
      </c>
      <c r="O180" s="8" t="n">
        <v>-600</v>
      </c>
      <c r="P180" s="8" t="n">
        <v>-600</v>
      </c>
      <c r="Q180" s="8" t="n">
        <v>-600</v>
      </c>
      <c r="R180" s="8" t="n">
        <v>-300</v>
      </c>
      <c r="S180" s="8" t="n">
        <v>-600</v>
      </c>
      <c r="T180" s="8" t="n">
        <v>-600</v>
      </c>
      <c r="U180" s="8" t="n">
        <v>-600</v>
      </c>
      <c r="V180" s="8" t="n">
        <v>-450</v>
      </c>
      <c r="W180" s="9" t="n">
        <v>-6600</v>
      </c>
      <c r="X180" s="10" t="inlineStr">
        <is>
          <t>Gastos comerciales Pedro Medina: 600.00 €/mes (Agosto al 50%, Enero y Diciembre al 75%). Total año: 6,600.00 €.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1"/>
  <sheetViews>
    <sheetView showGridLines="1" workbookViewId="0">
      <selection activeCell="A1" sqref="A1"/>
    </sheetView>
  </sheetViews>
  <sheetFormatPr baseColWidth="8" defaultRowHeight="15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DEFINITIVOS V5)</t>
        </is>
      </c>
    </row>
    <row r="2" ht="20" customHeight="1">
      <c r="B2" s="2" t="inlineStr">
        <is>
          <t>Comparativa P&amp;L V5 vs Presupuesto Definitivo V5 (Cifra Neta 17,738 M€, Salarios 1,806 M€, SS 420k €, Transporte Export Reincorporado en Gasto e Ingreso)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V5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V5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18100771.19</v>
      </c>
      <c r="E5" s="12" t="n">
        <v>362610.9000000022</v>
      </c>
      <c r="F5" s="13" t="n">
        <v>0.02044241872165438</v>
      </c>
      <c r="G5" s="10" t="inlineStr">
        <is>
          <t>Ventas Brutas 2027 ajustadas a 18,10 M€ para absorber rappels y alcanzar 17,738 M€ netos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-397070.47</v>
      </c>
      <c r="E6" s="12" t="n">
        <v>-7954.469999999972</v>
      </c>
      <c r="F6" s="13" t="n">
        <v>-0.0204424130593447</v>
      </c>
      <c r="G6" s="10" t="inlineStr">
        <is>
          <t>2,19% s/ventas brutas (-397.070,47 €)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17738160.29</v>
      </c>
      <c r="E8" s="15" t="n">
        <v>354656.4299999997</v>
      </c>
      <c r="F8" s="16" t="n">
        <v>0.02040189554742617</v>
      </c>
      <c r="G8" s="17" t="inlineStr">
        <is>
          <t>Cifra Neta de Negocios fijada en el objetivo comercial exacto: 17.738.160,29 €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305223.3</v>
      </c>
      <c r="E9" s="12" t="n">
        <v>110103.53</v>
      </c>
      <c r="F9" s="13" t="n">
        <v>0.5642868992721752</v>
      </c>
      <c r="G9" s="10" t="inlineStr">
        <is>
          <t>Transporte internacional de exportación repercutido al cliente (+305.223,30 €)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11636137.09</v>
      </c>
      <c r="E11" s="15" t="n">
        <v>247627.1699999999</v>
      </c>
      <c r="F11" s="16" t="n">
        <v>0.02174359698849873</v>
      </c>
      <c r="G11" s="17" t="inlineStr">
        <is>
          <t>Margen bruto operativo: 65.60% sobre Cifra Neta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-2228609.6</v>
      </c>
      <c r="E12" s="12" t="n">
        <v>-115516.1200000001</v>
      </c>
      <c r="F12" s="13" t="n">
        <v>-0.05466682903209758</v>
      </c>
      <c r="G12" s="10" t="inlineStr">
        <is>
          <t>Salarios brutos 1.806.076 € (640) + SS empresa 420.033,60 € (642) + Formación 2.500 € (649)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-2010507.73</v>
      </c>
      <c r="E13" s="12" t="n">
        <v>-40551.93999999994</v>
      </c>
      <c r="F13" s="13" t="n">
        <v>-0.0205852030821463</v>
      </c>
      <c r="G13" s="10" t="inlineStr">
        <is>
          <t>Incluye Transporte Exportación (-305k €), Campillo (-166k €), Canarias (-79k €),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7397019.76</v>
      </c>
      <c r="E14" s="19" t="n">
        <v>91559.1100000022</v>
      </c>
      <c r="F14" s="20" t="n">
        <v>0.01253296874578364</v>
      </c>
      <c r="G14" s="21" t="inlineStr">
        <is>
          <t>Rentabilidad operativa: 41.70% s/ventas netas (Impacto 0 por transporte repercutido)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7166315.56</v>
      </c>
      <c r="E16" s="15" t="n">
        <v>91559.1100000022</v>
      </c>
      <c r="F16" s="16" t="n">
        <v>0.0129416624652856</v>
      </c>
      <c r="G16" s="17" t="inlineStr">
        <is>
          <t>Margen neto de explotación: 40.40%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6687385.239999999</v>
      </c>
      <c r="E18" s="15" t="n">
        <v>91559.1100000022</v>
      </c>
      <c r="F18" s="16" t="n">
        <v>0.0138813710664023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 (V3)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7397019.76</v>
      </c>
      <c r="D23" s="25" t="n">
        <v>0.4170116651933807</v>
      </c>
      <c r="E23" s="24" t="n">
        <v>7166315.56</v>
      </c>
      <c r="F23" s="25" t="n">
        <v>0.4040055700725658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7335809.76</v>
      </c>
      <c r="D24" s="28" t="n">
        <v>0.4135609127478462</v>
      </c>
      <c r="E24" s="27" t="n">
        <v>7105105.56</v>
      </c>
      <c r="F24" s="28" t="n">
        <v>0.4005548176270314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7579178.84</v>
      </c>
      <c r="D25" s="28" t="n">
        <v>0.4272809984851028</v>
      </c>
      <c r="E25" s="27" t="n">
        <v>7348474.64</v>
      </c>
      <c r="F25" s="28" t="n">
        <v>0.414274903364288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7" t="n"/>
      <c r="D27" s="37" t="n"/>
      <c r="E27" s="37" t="n"/>
      <c r="F27" s="37" t="n"/>
      <c r="G27" s="38" t="n"/>
    </row>
    <row r="28">
      <c r="B28" s="39" t="n"/>
      <c r="G28" s="40" t="n"/>
    </row>
    <row r="29">
      <c r="B29" s="41" t="n"/>
      <c r="C29" s="42" t="n"/>
      <c r="D29" s="42" t="n"/>
      <c r="E29" s="42" t="n"/>
      <c r="F29" s="42" t="n"/>
      <c r="G29" s="43" t="n"/>
    </row>
    <row r="31">
      <c r="B31" t="inlineStr">
        <is>
          <t>ℹ️ TRATAMIENTO DEL TRANSPORTE DE EXPORTACIÓN (305.223,30 €) EN V5:
El transporte internacional de exportación presupuestado por el área logística (305.223,30 €) figura íntegramente contabilizado como GASTO en la cuenta 624000002 y correlativamente como INGRESO REPERCUTIDO en la cuenta 700001624. Esta imputación simétrica garantiza el reflejo del volumen logístico total contratado por la compañía manteniendo un impacto neto exactamente neutro (0,00 €) en el EBITDA presupuestado.</t>
        </is>
      </c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8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V5)</t>
        </is>
      </c>
    </row>
    <row r="2" ht="20" customHeight="1">
      <c r="B2" s="2" t="inlineStr">
        <is>
          <t>Detalle cuenta a cuenta del impacto entre el P&amp;L anterior V5 y el nuevo Presupuesto Definitivo V3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V5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305223.3</v>
      </c>
      <c r="G5" s="27" t="n">
        <v>110103.53</v>
      </c>
      <c r="H5" s="10" t="inlineStr">
        <is>
          <t>Ingreso por transporte exportación repercutido al cliente (+305.223,30 €), compensado con gasto 624000002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-397070.47</v>
      </c>
      <c r="G6" s="27" t="n">
        <v>-397070.47</v>
      </c>
      <c r="H6" s="10" t="inlineStr">
        <is>
          <t>Provisión 2,19% sobre ventas brutas ajustadas (18,10 M€)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640000000</t>
        </is>
      </c>
      <c r="C12" s="30" t="inlineStr">
        <is>
          <t>Sueldos y salarios</t>
        </is>
      </c>
      <c r="D12" s="31" t="inlineStr">
        <is>
          <t>Personal</t>
        </is>
      </c>
      <c r="E12" s="27" t="n">
        <v>-1815728.88</v>
      </c>
      <c r="F12" s="27" t="n">
        <v>-1806076</v>
      </c>
      <c r="G12" s="27" t="n">
        <v>9652.880000000121</v>
      </c>
      <c r="H12" s="10" t="inlineStr">
        <is>
          <t>Salario bruto definitivo 2027 (-1.806.076,00 €)</t>
        </is>
      </c>
    </row>
    <row r="13" ht="19" customHeight="1">
      <c r="B13" s="31" t="inlineStr">
        <is>
          <t>642000000</t>
        </is>
      </c>
      <c r="C13" s="30" t="inlineStr">
        <is>
          <t>Seguridad Social a cargo empresa</t>
        </is>
      </c>
      <c r="D13" s="31" t="inlineStr">
        <is>
          <t>Personal</t>
        </is>
      </c>
      <c r="E13" s="27" t="n">
        <v>-294864.5999999999</v>
      </c>
      <c r="F13" s="27" t="n">
        <v>-420033.6</v>
      </c>
      <c r="G13" s="27" t="n">
        <v>-125169.0000000001</v>
      </c>
      <c r="H13" s="10" t="inlineStr">
        <is>
          <t>Seguridad Social definitiva 2027 (-420.033,60 €)</t>
        </is>
      </c>
    </row>
    <row r="14" ht="19" customHeight="1">
      <c r="B14" s="31" t="inlineStr">
        <is>
          <t>622000006</t>
        </is>
      </c>
      <c r="C14" s="30" t="inlineStr">
        <is>
          <t>REP. Y MANT. INSTALACIONES</t>
        </is>
      </c>
      <c r="D14" s="31" t="inlineStr">
        <is>
          <t>Mantenimiento</t>
        </is>
      </c>
      <c r="E14" s="27" t="n">
        <v>-17110.2</v>
      </c>
      <c r="F14" s="27" t="n">
        <v>-18848.14</v>
      </c>
      <c r="G14" s="27" t="n">
        <v>-1737.939999999999</v>
      </c>
      <c r="H14" s="10" t="inlineStr">
        <is>
          <t>Cubierta nave, puerta corredera e instalaciones</t>
        </is>
      </c>
    </row>
    <row r="15" ht="19" customHeight="1">
      <c r="B15" s="31" t="inlineStr">
        <is>
          <t>622010200</t>
        </is>
      </c>
      <c r="C15" s="30" t="inlineStr">
        <is>
          <t>ALCAPLANT</t>
        </is>
      </c>
      <c r="D15" s="31" t="inlineStr">
        <is>
          <t>Mantenimiento</t>
        </is>
      </c>
      <c r="E15" s="27" t="n">
        <v>-30331.56000000001</v>
      </c>
      <c r="F15" s="27" t="n">
        <v>-5594.4</v>
      </c>
      <c r="G15" s="27" t="n">
        <v>24737.16000000001</v>
      </c>
      <c r="H15" s="10" t="inlineStr">
        <is>
          <t>Mantenimiento preventivo molinos Alcaplant</t>
        </is>
      </c>
    </row>
    <row r="16" ht="19" customHeight="1">
      <c r="B16" s="31" t="inlineStr">
        <is>
          <t>622010201</t>
        </is>
      </c>
      <c r="C16" s="30" t="inlineStr">
        <is>
          <t>REPARACIONES ALCAPLANT</t>
        </is>
      </c>
      <c r="D16" s="31" t="inlineStr">
        <is>
          <t>Mantenimiento</t>
        </is>
      </c>
      <c r="E16" s="27" t="n">
        <v>-50245.68</v>
      </c>
      <c r="F16" s="27" t="n">
        <v>0</v>
      </c>
      <c r="G16" s="27" t="n">
        <v>50245.68</v>
      </c>
      <c r="H16" s="10" t="inlineStr">
        <is>
          <t>Integrado en cuenta matriz 622010200</t>
        </is>
      </c>
    </row>
    <row r="17" ht="19" customHeight="1">
      <c r="B17" s="31" t="inlineStr">
        <is>
          <t>622010300</t>
        </is>
      </c>
      <c r="C17" s="30" t="inlineStr">
        <is>
          <t>SOLIDOS</t>
        </is>
      </c>
      <c r="D17" s="31" t="inlineStr">
        <is>
          <t>Mantenimiento</t>
        </is>
      </c>
      <c r="E17" s="27" t="n">
        <v>-71268.96000000001</v>
      </c>
      <c r="F17" s="27" t="n">
        <v>-7035</v>
      </c>
      <c r="G17" s="27" t="n">
        <v>64233.96000000001</v>
      </c>
      <c r="H17" s="10" t="inlineStr">
        <is>
          <t>Presupuesto técnico línea sólidos</t>
        </is>
      </c>
    </row>
    <row r="18" ht="19" customHeight="1">
      <c r="B18" s="31" t="inlineStr">
        <is>
          <t>622010400</t>
        </is>
      </c>
      <c r="C18" s="30" t="inlineStr">
        <is>
          <t>LIQUIDOS</t>
        </is>
      </c>
      <c r="D18" s="31" t="inlineStr">
        <is>
          <t>Mantenimiento</t>
        </is>
      </c>
      <c r="E18" s="27" t="n">
        <v>-10990.8</v>
      </c>
      <c r="F18" s="27" t="n">
        <v>-6090</v>
      </c>
      <c r="G18" s="27" t="n">
        <v>4900.799999999997</v>
      </c>
      <c r="H18" s="10" t="inlineStr">
        <is>
          <t>Presupuesto técnico línea líquidos</t>
        </is>
      </c>
    </row>
    <row r="19" ht="19" customHeight="1">
      <c r="B19" s="31" t="inlineStr">
        <is>
          <t>622010500</t>
        </is>
      </c>
      <c r="C19" s="30" t="inlineStr">
        <is>
          <t>REPUESTOS MANT. VARIOS</t>
        </is>
      </c>
      <c r="D19" s="31" t="inlineStr">
        <is>
          <t>Mantenimiento</t>
        </is>
      </c>
      <c r="E19" s="27" t="n">
        <v>-9458.4</v>
      </c>
      <c r="F19" s="27" t="n">
        <v>-3255</v>
      </c>
      <c r="G19" s="27" t="n">
        <v>6203.4</v>
      </c>
      <c r="H19" s="10" t="inlineStr">
        <is>
          <t>Presupuesto consumibles taller</t>
        </is>
      </c>
    </row>
    <row r="20" ht="19" customHeight="1">
      <c r="B20" s="31" t="inlineStr">
        <is>
          <t>622010501</t>
        </is>
      </c>
      <c r="C20" s="30" t="inlineStr">
        <is>
          <t>REP. MANT. FONTANERIA</t>
        </is>
      </c>
      <c r="D20" s="31" t="inlineStr">
        <is>
          <t>Mantenimiento</t>
        </is>
      </c>
      <c r="E20" s="27" t="n">
        <v>-1457.28</v>
      </c>
      <c r="F20" s="27" t="n">
        <v>0</v>
      </c>
      <c r="G20" s="27" t="n">
        <v>1457.28</v>
      </c>
      <c r="H20" s="10" t="inlineStr">
        <is>
          <t>Integrado en 622010400 / 622010500</t>
        </is>
      </c>
    </row>
    <row r="21" ht="19" customHeight="1">
      <c r="B21" s="31" t="inlineStr">
        <is>
          <t>623000003</t>
        </is>
      </c>
      <c r="C21" s="30" t="inlineStr">
        <is>
          <t>SERV. NOTARIOS, REGISTROS</t>
        </is>
      </c>
      <c r="D21" s="31" t="inlineStr">
        <is>
          <t>Regulatory</t>
        </is>
      </c>
      <c r="E21" s="27" t="n">
        <v>-24000</v>
      </c>
      <c r="F21" s="27" t="n">
        <v>-550</v>
      </c>
      <c r="G21" s="27" t="n">
        <v>23450</v>
      </c>
      <c r="H21" s="10" t="inlineStr">
        <is>
          <t>Registros corriente (activación 25,9k € en 203)</t>
        </is>
      </c>
    </row>
    <row r="22" ht="19" customHeight="1">
      <c r="B22" s="31" t="inlineStr">
        <is>
          <t>623000004</t>
        </is>
      </c>
      <c r="C22" s="30" t="inlineStr">
        <is>
          <t>GTOS. BCS. OKO</t>
        </is>
      </c>
      <c r="D22" s="31" t="inlineStr">
        <is>
          <t>Regulatory</t>
        </is>
      </c>
      <c r="E22" s="27" t="n">
        <v>-15253.68</v>
      </c>
      <c r="F22" s="27" t="n">
        <v>-10193</v>
      </c>
      <c r="G22" s="27" t="n">
        <v>5060.679999999998</v>
      </c>
      <c r="H22" s="10" t="inlineStr">
        <is>
          <t>Certificaciones ecológicas según calendario</t>
        </is>
      </c>
    </row>
    <row r="23" ht="19" customHeight="1">
      <c r="B23" s="31" t="inlineStr">
        <is>
          <t>624000001</t>
        </is>
      </c>
      <c r="C23" s="30" t="inlineStr">
        <is>
          <t>TRANSPORTES NACIONAL</t>
        </is>
      </c>
      <c r="D23" s="31" t="inlineStr">
        <is>
          <t>Transporte</t>
        </is>
      </c>
      <c r="E23" s="27" t="n">
        <v>-212857.93</v>
      </c>
      <c r="F23" s="27" t="n">
        <v>-166472.15</v>
      </c>
      <c r="G23" s="27" t="n">
        <v>46385.78</v>
      </c>
      <c r="H23" s="10" t="inlineStr">
        <is>
          <t>Tarifas negociadas Campillo Palmera (-46.4k € ahorro)</t>
        </is>
      </c>
    </row>
    <row r="24" ht="19" customHeight="1">
      <c r="B24" s="31" t="inlineStr">
        <is>
          <t>624000002</t>
        </is>
      </c>
      <c r="C24" s="30" t="inlineStr">
        <is>
          <t>TRANSPORTE INTERNACIONAL</t>
        </is>
      </c>
      <c r="D24" s="31" t="inlineStr">
        <is>
          <t>Transporte</t>
        </is>
      </c>
      <c r="E24" s="27" t="n">
        <v>-150774.37</v>
      </c>
      <c r="F24" s="27" t="n">
        <v>-305223.3</v>
      </c>
      <c r="G24" s="27" t="n">
        <v>-154448.93</v>
      </c>
      <c r="H24" s="10" t="inlineStr">
        <is>
          <t>Transporte internacional exportación presupuestado (-305.223,30 €), compensado con ingreso 700001624</t>
        </is>
      </c>
    </row>
    <row r="25" ht="19" customHeight="1">
      <c r="B25" s="31" t="inlineStr">
        <is>
          <t>624000003</t>
        </is>
      </c>
      <c r="C25" s="30" t="inlineStr">
        <is>
          <t>TRANSPORTES CANARIAS</t>
        </is>
      </c>
      <c r="D25" s="31" t="inlineStr">
        <is>
          <t>Transporte</t>
        </is>
      </c>
      <c r="E25" s="27" t="n">
        <v>-88690.8</v>
      </c>
      <c r="F25" s="27" t="n">
        <v>-79198.28</v>
      </c>
      <c r="G25" s="27" t="n">
        <v>9492.520000000004</v>
      </c>
      <c r="H25" s="10" t="inlineStr">
        <is>
          <t>Tarifas insulares Sealine (-9.5k € ahorro)</t>
        </is>
      </c>
    </row>
    <row r="26" ht="19" customHeight="1">
      <c r="B26" s="31" t="inlineStr">
        <is>
          <t>624000004</t>
        </is>
      </c>
      <c r="C26" s="30" t="inlineStr">
        <is>
          <t>GTOS. FLETE REP. AL CLIENTE</t>
        </is>
      </c>
      <c r="D26" s="31" t="inlineStr">
        <is>
          <t>Transporte</t>
        </is>
      </c>
      <c r="E26" s="27" t="n">
        <v>-79821.73</v>
      </c>
      <c r="F26" s="27" t="n">
        <v>0</v>
      </c>
      <c r="G26" s="27" t="n">
        <v>79821.73</v>
      </c>
      <c r="H26" s="10" t="inlineStr">
        <is>
          <t>Repercutido 100% al cliente en factura</t>
        </is>
      </c>
    </row>
    <row r="27" ht="19" customHeight="1">
      <c r="B27" s="31" t="inlineStr">
        <is>
          <t>627000004</t>
        </is>
      </c>
      <c r="C27" s="30" t="inlineStr">
        <is>
          <t>627000004 - RELACIONES PUBLICAS</t>
        </is>
      </c>
      <c r="D27" s="31" t="inlineStr">
        <is>
          <t>Marketing</t>
        </is>
      </c>
      <c r="E27" s="27" t="n">
        <v>-2682.5</v>
      </c>
      <c r="F27" s="27" t="n">
        <v>0</v>
      </c>
      <c r="G27" s="27" t="n">
        <v>2682.5</v>
      </c>
      <c r="H27" s="10" t="inlineStr">
        <is>
          <t>Reclasificado en 627000008</t>
        </is>
      </c>
    </row>
    <row r="28" ht="19" customHeight="1">
      <c r="B28" s="31" t="inlineStr">
        <is>
          <t>627000005</t>
        </is>
      </c>
      <c r="C28" s="30" t="inlineStr">
        <is>
          <t>627000005 - INVITACIONES CLIENTES</t>
        </is>
      </c>
      <c r="D28" s="31" t="inlineStr">
        <is>
          <t>Marketing</t>
        </is>
      </c>
      <c r="E28" s="27" t="n">
        <v>-5087.5</v>
      </c>
      <c r="F28" s="27" t="n">
        <v>0</v>
      </c>
      <c r="G28" s="27" t="n">
        <v>5087.5</v>
      </c>
      <c r="H28" s="10" t="inlineStr">
        <is>
          <t>Reclasificado en 627000008</t>
        </is>
      </c>
    </row>
    <row r="29" ht="19" customHeight="1">
      <c r="B29" s="31" t="inlineStr">
        <is>
          <t>627000006</t>
        </is>
      </c>
      <c r="C29" s="30" t="inlineStr">
        <is>
          <t>PUBLICIDAD CATALOGOS Y FOLLETOS</t>
        </is>
      </c>
      <c r="D29" s="31" t="inlineStr">
        <is>
          <t>Marketing</t>
        </is>
      </c>
      <c r="E29" s="27" t="n">
        <v>-1236.75</v>
      </c>
      <c r="F29" s="27" t="n">
        <v>-25630</v>
      </c>
      <c r="G29" s="27" t="n">
        <v>-24393.25</v>
      </c>
      <c r="H29" s="10" t="inlineStr">
        <is>
          <t>Marketing corporativo transversal V5</t>
        </is>
      </c>
    </row>
    <row r="30" ht="19" customHeight="1">
      <c r="B30" s="31" t="inlineStr">
        <is>
          <t>627000007</t>
        </is>
      </c>
      <c r="C30" s="30" t="inlineStr">
        <is>
          <t>FERIAS</t>
        </is>
      </c>
      <c r="D30" s="31" t="inlineStr">
        <is>
          <t>Marketing</t>
        </is>
      </c>
      <c r="E30" s="27" t="n">
        <v>-3855.75</v>
      </c>
      <c r="F30" s="27" t="n">
        <v>-33769.99</v>
      </c>
      <c r="G30" s="27" t="n">
        <v>-29914.24</v>
      </c>
      <c r="H30" s="10" t="inlineStr">
        <is>
          <t>Ferias internacionales V5</t>
        </is>
      </c>
    </row>
    <row r="31" ht="19" customHeight="1">
      <c r="B31" s="31" t="inlineStr">
        <is>
          <t>627000008</t>
        </is>
      </c>
      <c r="C31" s="30" t="inlineStr">
        <is>
          <t>MARKETING</t>
        </is>
      </c>
      <c r="D31" s="31" t="inlineStr">
        <is>
          <t>Marketing</t>
        </is>
      </c>
      <c r="E31" s="27" t="n">
        <v>0</v>
      </c>
      <c r="F31" s="27" t="n">
        <v>-196299.99</v>
      </c>
      <c r="G31" s="27" t="n">
        <v>-196299.99</v>
      </c>
      <c r="H31" s="10" t="inlineStr">
        <is>
          <t>Activación comercial clientes y productos foco V5</t>
        </is>
      </c>
    </row>
    <row r="32" ht="19" customHeight="1">
      <c r="B32" s="31" t="inlineStr">
        <is>
          <t>627000009</t>
        </is>
      </c>
      <c r="C32" s="30" t="inlineStr">
        <is>
          <t>ARTICULOS PUBLICIDAD</t>
        </is>
      </c>
      <c r="D32" s="31" t="inlineStr">
        <is>
          <t>Marketing</t>
        </is>
      </c>
      <c r="E32" s="27" t="n">
        <v>-26500</v>
      </c>
      <c r="F32" s="27" t="n">
        <v>-10372.4</v>
      </c>
      <c r="G32" s="27" t="n">
        <v>16127.6</v>
      </c>
      <c r="H32" s="10" t="inlineStr">
        <is>
          <t>Fondo de reserva táctica comercial V5</t>
        </is>
      </c>
    </row>
    <row r="33" ht="19" customHeight="1">
      <c r="B33" s="31" t="inlineStr">
        <is>
          <t>627000010</t>
        </is>
      </c>
      <c r="C33" s="30" t="inlineStr">
        <is>
          <t>627000010 - RELACIONES PUBLICAS TEC. CLIENTES</t>
        </is>
      </c>
      <c r="D33" s="31" t="inlineStr">
        <is>
          <t>Marketing</t>
        </is>
      </c>
      <c r="E33" s="27" t="n">
        <v>-10334.5</v>
      </c>
      <c r="F33" s="27" t="n">
        <v>0</v>
      </c>
      <c r="G33" s="27" t="n">
        <v>10334.5</v>
      </c>
      <c r="H33" s="10" t="inlineStr">
        <is>
          <t>Reclasificado en 627000008</t>
        </is>
      </c>
    </row>
    <row r="34" ht="19" customHeight="1">
      <c r="B34" s="31" t="inlineStr">
        <is>
          <t>629000002</t>
        </is>
      </c>
      <c r="C34" s="30" t="inlineStr">
        <is>
          <t>OTROS GASTOS / SCRAP AEVAE</t>
        </is>
      </c>
      <c r="D34" s="31" t="inlineStr">
        <is>
          <t>Regulatory</t>
        </is>
      </c>
      <c r="E34" s="27" t="n">
        <v>-11379.84</v>
      </c>
      <c r="F34" s="27" t="n">
        <v>-25315</v>
      </c>
      <c r="G34" s="27" t="n">
        <v>-13935.16</v>
      </c>
      <c r="H34" s="10" t="inlineStr">
        <is>
          <t>Cuotas AEVAE según volumen puesto en mercado</t>
        </is>
      </c>
    </row>
    <row r="35" ht="19" customHeight="1">
      <c r="B35" s="31" t="inlineStr">
        <is>
          <t>629000005</t>
        </is>
      </c>
      <c r="C35" s="30" t="inlineStr">
        <is>
          <t>GTOS. ANALISIS LABORATORIOS</t>
        </is>
      </c>
      <c r="D35" s="31" t="inlineStr">
        <is>
          <t>Regulatory</t>
        </is>
      </c>
      <c r="E35" s="27" t="n">
        <v>-11295.24</v>
      </c>
      <c r="F35" s="27" t="n">
        <v>-6600</v>
      </c>
      <c r="G35" s="27" t="n">
        <v>4695.240000000003</v>
      </c>
      <c r="H35" s="10" t="inlineStr">
        <is>
          <t>Análisis reglamentarios externos</t>
        </is>
      </c>
    </row>
    <row r="36" ht="19" customHeight="1">
      <c r="B36" s="31" t="inlineStr">
        <is>
          <t>629000007</t>
        </is>
      </c>
      <c r="C36" s="30" t="inlineStr">
        <is>
          <t>GASTOS RETIRADA DE RESIDUOS</t>
        </is>
      </c>
      <c r="D36" s="31" t="inlineStr">
        <is>
          <t>Regulatory</t>
        </is>
      </c>
      <c r="E36" s="27" t="n">
        <v>-34000</v>
      </c>
      <c r="F36" s="27" t="n">
        <v>-74400</v>
      </c>
      <c r="G36" s="27" t="n">
        <v>-40400</v>
      </c>
      <c r="H36" s="10" t="inlineStr">
        <is>
          <t>Gasto mensual regularizado a 6.200 €/mes</t>
        </is>
      </c>
    </row>
    <row r="37" ht="19" customHeight="1">
      <c r="B37" s="31" t="inlineStr">
        <is>
          <t>629000008</t>
        </is>
      </c>
      <c r="C37" s="30" t="inlineStr">
        <is>
          <t>CUOTAS ASOCIACIONES</t>
        </is>
      </c>
      <c r="D37" s="31" t="inlineStr">
        <is>
          <t>Regulatory</t>
        </is>
      </c>
      <c r="E37" s="27" t="n">
        <v>-9621.839999999998</v>
      </c>
      <c r="F37" s="27" t="n">
        <v>-2400</v>
      </c>
      <c r="G37" s="27" t="n">
        <v>7221.839999999998</v>
      </c>
      <c r="H37" s="10" t="inlineStr">
        <is>
          <t>Alineado con cuota Quimacova (-7.2k € ahorro)</t>
        </is>
      </c>
    </row>
    <row r="38">
      <c r="B38" s="31" t="inlineStr">
        <is>
          <t>700000000</t>
        </is>
      </c>
      <c r="C38" s="30" t="inlineStr">
        <is>
          <t>Ventas de mercaderías</t>
        </is>
      </c>
      <c r="D38" s="31" t="inlineStr">
        <is>
          <t>Ventas</t>
        </is>
      </c>
      <c r="E38" s="27" t="n">
        <v>17738160.29</v>
      </c>
      <c r="F38" s="27" t="n">
        <v>18100771.19</v>
      </c>
      <c r="G38" s="27" t="n">
        <v>362610.9000000022</v>
      </c>
      <c r="H38" s="10" t="inlineStr">
        <is>
          <t>Ventas brutas incrementadas a 18,10 M€ para absorber rappels y fijar Cifra Neta en 17,738 M€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2026-09-29T12:45:55Z</dcterms:created>
  <dcterms:modified xmlns:dcterms="http://purl.org/dc/terms/" xmlns:xsi="http://www.w3.org/2001/XMLSchema-instance" xsi:type="dcterms:W3CDTF">2026-10-01T06:19:31Z</dcterms:modified>
</cp:coreProperties>
</file>