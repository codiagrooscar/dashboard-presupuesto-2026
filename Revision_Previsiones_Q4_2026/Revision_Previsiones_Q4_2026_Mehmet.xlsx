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Mehm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F48</f>
        <v/>
      </c>
      <c r="C6" s="5" t="n"/>
      <c r="D6" s="5" t="n"/>
      <c r="E6" s="10">
        <f>G48</f>
        <v/>
      </c>
      <c r="F6" s="5" t="n"/>
      <c r="G6" s="5" t="n"/>
      <c r="H6" s="11">
        <f>J48</f>
        <v/>
      </c>
      <c r="I6" s="5" t="n"/>
      <c r="J6" s="11">
        <f>K48</f>
        <v/>
      </c>
      <c r="K6" s="5" t="n"/>
      <c r="L6" s="5" t="n"/>
      <c r="M6" s="9">
        <f>S48</f>
        <v/>
      </c>
      <c r="N6" s="5" t="n"/>
      <c r="O6" s="5" t="n"/>
      <c r="P6" s="10">
        <f>T48</f>
        <v/>
      </c>
      <c r="Q6" s="5" t="n"/>
      <c r="R6" s="5" t="n"/>
      <c r="S6" s="12">
        <f>U48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GEORGIA</t>
        </is>
      </c>
      <c r="C10" s="21" t="inlineStr">
        <is>
          <t>BORN AGROCHEMISTRY, LLC</t>
        </is>
      </c>
      <c r="D10" s="20" t="inlineStr">
        <is>
          <t>A-500001</t>
        </is>
      </c>
      <c r="E10" s="22" t="inlineStr">
        <is>
          <t>CODIORGAN  A-50</t>
        </is>
      </c>
      <c r="F10" s="23" t="n">
        <v>0</v>
      </c>
      <c r="G10" s="24" t="n">
        <v>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0</v>
      </c>
      <c r="N10" s="30" t="n">
        <v>0</v>
      </c>
      <c r="O10" s="29" t="n">
        <v>0</v>
      </c>
      <c r="P10" s="30" t="n">
        <v>0</v>
      </c>
      <c r="Q10" s="29" t="n">
        <v>1920</v>
      </c>
      <c r="R10" s="30" t="n">
        <v>1920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GEORGIA</t>
        </is>
      </c>
      <c r="C11" s="21" t="inlineStr">
        <is>
          <t>BORN AGROCHEMISTRY, LLC</t>
        </is>
      </c>
      <c r="D11" s="20" t="inlineStr">
        <is>
          <t>A-500005</t>
        </is>
      </c>
      <c r="E11" s="22" t="inlineStr">
        <is>
          <t>CODIORGAN  A-50</t>
        </is>
      </c>
      <c r="F11" s="23" t="n">
        <v>0</v>
      </c>
      <c r="G11" s="24" t="n">
        <v>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/>
      <c r="M11" s="29" t="n">
        <v>0</v>
      </c>
      <c r="N11" s="30" t="n">
        <v>0</v>
      </c>
      <c r="O11" s="29" t="n">
        <v>0</v>
      </c>
      <c r="P11" s="30" t="n">
        <v>0</v>
      </c>
      <c r="Q11" s="29" t="n">
        <v>1000</v>
      </c>
      <c r="R11" s="30" t="n">
        <v>1000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GEORGIA</t>
        </is>
      </c>
      <c r="C12" s="21" t="inlineStr">
        <is>
          <t>BORN AGROCHEMISTRY, LLC</t>
        </is>
      </c>
      <c r="D12" s="20" t="inlineStr">
        <is>
          <t>AGXK0005</t>
        </is>
      </c>
      <c r="E12" s="22" t="inlineStr">
        <is>
          <t>AGROXILATO-K, 5 L</t>
        </is>
      </c>
      <c r="F12" s="23" t="n">
        <v>0</v>
      </c>
      <c r="G12" s="24" t="n">
        <v>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/>
      <c r="M12" s="29" t="n">
        <v>0</v>
      </c>
      <c r="N12" s="30" t="n">
        <v>0</v>
      </c>
      <c r="O12" s="29" t="n">
        <v>0</v>
      </c>
      <c r="P12" s="30" t="n">
        <v>0</v>
      </c>
      <c r="Q12" s="29" t="n">
        <v>1000</v>
      </c>
      <c r="R12" s="30" t="n">
        <v>1000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GEORGIA</t>
        </is>
      </c>
      <c r="C13" s="21" t="inlineStr">
        <is>
          <t>BORN AGROCHEMISTRY, LLC</t>
        </is>
      </c>
      <c r="D13" s="20" t="inlineStr">
        <is>
          <t>AN0020</t>
        </is>
      </c>
      <c r="E13" s="22" t="inlineStr">
        <is>
          <t>ALCAPLANT NEW</t>
        </is>
      </c>
      <c r="F13" s="23" t="n">
        <v>0</v>
      </c>
      <c r="G13" s="24" t="n">
        <v>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/>
      <c r="M13" s="29" t="n">
        <v>0</v>
      </c>
      <c r="N13" s="30" t="n">
        <v>0</v>
      </c>
      <c r="O13" s="29" t="n">
        <v>0</v>
      </c>
      <c r="P13" s="30" t="n">
        <v>0</v>
      </c>
      <c r="Q13" s="29" t="n">
        <v>6000</v>
      </c>
      <c r="R13" s="30" t="n">
        <v>6000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GEORGIA</t>
        </is>
      </c>
      <c r="C14" s="21" t="inlineStr">
        <is>
          <t>BORN AGROCHEMISTRY, LLC</t>
        </is>
      </c>
      <c r="D14" s="20" t="inlineStr">
        <is>
          <t>BIO0020</t>
        </is>
      </c>
      <c r="E14" s="22" t="inlineStr">
        <is>
          <t>BIORAD-20</t>
        </is>
      </c>
      <c r="F14" s="23" t="n">
        <v>0</v>
      </c>
      <c r="G14" s="24" t="n">
        <v>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/>
      <c r="M14" s="29" t="n">
        <v>0</v>
      </c>
      <c r="N14" s="30" t="n">
        <v>0</v>
      </c>
      <c r="O14" s="29" t="n">
        <v>0</v>
      </c>
      <c r="P14" s="30" t="n">
        <v>0</v>
      </c>
      <c r="Q14" s="29" t="n">
        <v>30000</v>
      </c>
      <c r="R14" s="30" t="n">
        <v>30000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GEORGIA</t>
        </is>
      </c>
      <c r="C15" s="21" t="inlineStr">
        <is>
          <t>BORN AGROCHEMISTRY, LLC</t>
        </is>
      </c>
      <c r="D15" s="20" t="inlineStr">
        <is>
          <t>C-CU0001</t>
        </is>
      </c>
      <c r="E15" s="22" t="inlineStr">
        <is>
          <t>CODICOBRE</t>
        </is>
      </c>
      <c r="F15" s="23" t="n">
        <v>0</v>
      </c>
      <c r="G15" s="24" t="n">
        <v>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/>
      <c r="M15" s="29" t="n">
        <v>0</v>
      </c>
      <c r="N15" s="30" t="n">
        <v>0</v>
      </c>
      <c r="O15" s="29" t="n">
        <v>0</v>
      </c>
      <c r="P15" s="30" t="n">
        <v>0</v>
      </c>
      <c r="Q15" s="29" t="n">
        <v>960</v>
      </c>
      <c r="R15" s="30" t="n">
        <v>960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GEORGIA</t>
        </is>
      </c>
      <c r="C16" s="21" t="inlineStr">
        <is>
          <t>BORN AGROCHEMISTRY, LLC</t>
        </is>
      </c>
      <c r="D16" s="20" t="inlineStr">
        <is>
          <t>C-CU0005</t>
        </is>
      </c>
      <c r="E16" s="22" t="inlineStr">
        <is>
          <t>CODICOBRE, 5 L</t>
        </is>
      </c>
      <c r="F16" s="23" t="n">
        <v>0</v>
      </c>
      <c r="G16" s="24" t="n">
        <v>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/>
      <c r="M16" s="29" t="n">
        <v>0</v>
      </c>
      <c r="N16" s="30" t="n">
        <v>0</v>
      </c>
      <c r="O16" s="29" t="n">
        <v>0</v>
      </c>
      <c r="P16" s="30" t="n">
        <v>0</v>
      </c>
      <c r="Q16" s="29" t="n">
        <v>1000</v>
      </c>
      <c r="R16" s="30" t="n">
        <v>1000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GEORGIA</t>
        </is>
      </c>
      <c r="C17" s="21" t="inlineStr">
        <is>
          <t>BORN AGROCHEMISTRY, LLC</t>
        </is>
      </c>
      <c r="D17" s="20" t="inlineStr">
        <is>
          <t>CM30005</t>
        </is>
      </c>
      <c r="E17" s="22" t="inlineStr">
        <is>
          <t>TENSOLINE, 5 L</t>
        </is>
      </c>
      <c r="F17" s="23" t="n">
        <v>0</v>
      </c>
      <c r="G17" s="24" t="n">
        <v>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/>
      <c r="M17" s="29" t="n">
        <v>0</v>
      </c>
      <c r="N17" s="30" t="n">
        <v>0</v>
      </c>
      <c r="O17" s="29" t="n">
        <v>0</v>
      </c>
      <c r="P17" s="30" t="n">
        <v>0</v>
      </c>
      <c r="Q17" s="29" t="n">
        <v>1000</v>
      </c>
      <c r="R17" s="30" t="n">
        <v>1000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GEORGIA</t>
        </is>
      </c>
      <c r="C18" s="21" t="inlineStr">
        <is>
          <t>BORN AGROCHEMISTRY, LLC</t>
        </is>
      </c>
      <c r="D18" s="20" t="inlineStr">
        <is>
          <t>CZNMNES0001</t>
        </is>
      </c>
      <c r="E18" s="22" t="inlineStr">
        <is>
          <t>CODIFOL ZN-MN, 1 KG</t>
        </is>
      </c>
      <c r="F18" s="23" t="n">
        <v>0</v>
      </c>
      <c r="G18" s="24" t="n">
        <v>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0</v>
      </c>
      <c r="N18" s="30" t="n">
        <v>0</v>
      </c>
      <c r="O18" s="29" t="n">
        <v>0</v>
      </c>
      <c r="P18" s="30" t="n">
        <v>0</v>
      </c>
      <c r="Q18" s="29" t="n">
        <v>1000</v>
      </c>
      <c r="R18" s="30" t="n">
        <v>1000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GEORGIA</t>
        </is>
      </c>
      <c r="C19" s="21" t="inlineStr">
        <is>
          <t>BORN AGROCHEMISTRY, LLC</t>
        </is>
      </c>
      <c r="D19" s="20" t="inlineStr">
        <is>
          <t>CZNMNES0005</t>
        </is>
      </c>
      <c r="E19" s="22" t="inlineStr">
        <is>
          <t>CODIFOL ZN-MN</t>
        </is>
      </c>
      <c r="F19" s="23" t="n">
        <v>0</v>
      </c>
      <c r="G19" s="24" t="n">
        <v>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/>
      <c r="M19" s="29" t="n">
        <v>0</v>
      </c>
      <c r="N19" s="30" t="n">
        <v>0</v>
      </c>
      <c r="O19" s="29" t="n">
        <v>0</v>
      </c>
      <c r="P19" s="30" t="n">
        <v>0</v>
      </c>
      <c r="Q19" s="29" t="n">
        <v>1000</v>
      </c>
      <c r="R19" s="30" t="n">
        <v>1000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GEORGIA</t>
        </is>
      </c>
      <c r="C20" s="21" t="inlineStr">
        <is>
          <t>BORN AGROCHEMISTRY, LLC</t>
        </is>
      </c>
      <c r="D20" s="20" t="inlineStr">
        <is>
          <t>RUN0001</t>
        </is>
      </c>
      <c r="E20" s="22" t="inlineStr">
        <is>
          <t>RUN STRESS</t>
        </is>
      </c>
      <c r="F20" s="23" t="n">
        <v>0</v>
      </c>
      <c r="G20" s="24" t="n">
        <v>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/>
      <c r="M20" s="29" t="n">
        <v>0</v>
      </c>
      <c r="N20" s="30" t="n">
        <v>0</v>
      </c>
      <c r="O20" s="29" t="n">
        <v>0</v>
      </c>
      <c r="P20" s="30" t="n">
        <v>0</v>
      </c>
      <c r="Q20" s="29" t="n">
        <v>960</v>
      </c>
      <c r="R20" s="30" t="n">
        <v>960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GEORGIA</t>
        </is>
      </c>
      <c r="C21" s="21" t="inlineStr">
        <is>
          <t>BORN AGROCHEMISTRY, LLC</t>
        </is>
      </c>
      <c r="D21" s="20" t="inlineStr">
        <is>
          <t>RUN0005</t>
        </is>
      </c>
      <c r="E21" s="22" t="inlineStr">
        <is>
          <t>RUN STRESS</t>
        </is>
      </c>
      <c r="F21" s="23" t="n">
        <v>0</v>
      </c>
      <c r="G21" s="24" t="n">
        <v>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/>
      <c r="M21" s="29" t="n">
        <v>0</v>
      </c>
      <c r="N21" s="30" t="n">
        <v>0</v>
      </c>
      <c r="O21" s="29" t="n">
        <v>0</v>
      </c>
      <c r="P21" s="30" t="n">
        <v>0</v>
      </c>
      <c r="Q21" s="29" t="n">
        <v>1000</v>
      </c>
      <c r="R21" s="30" t="n">
        <v>1000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SERBIA</t>
        </is>
      </c>
      <c r="C22" s="21" t="inlineStr">
        <is>
          <t>PLANTA SANA, D.O.O.</t>
        </is>
      </c>
      <c r="D22" s="20" t="inlineStr">
        <is>
          <t>A-50(2)0001</t>
        </is>
      </c>
      <c r="E22" s="22" t="inlineStr">
        <is>
          <t>CODIORGAN-A50</t>
        </is>
      </c>
      <c r="F22" s="23" t="n">
        <v>0</v>
      </c>
      <c r="G22" s="24" t="n">
        <v>0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/>
      <c r="M22" s="29" t="n">
        <v>0</v>
      </c>
      <c r="N22" s="30" t="n">
        <v>0</v>
      </c>
      <c r="O22" s="29" t="n">
        <v>0</v>
      </c>
      <c r="P22" s="30" t="n">
        <v>0</v>
      </c>
      <c r="Q22" s="29" t="n">
        <v>2000</v>
      </c>
      <c r="R22" s="30" t="n">
        <v>2000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SERBIA</t>
        </is>
      </c>
      <c r="C23" s="21" t="inlineStr">
        <is>
          <t>PLANTA SANA, D.O.O.</t>
        </is>
      </c>
      <c r="D23" s="20" t="inlineStr">
        <is>
          <t>AN0005</t>
        </is>
      </c>
      <c r="E23" s="22" t="inlineStr">
        <is>
          <t>ALCAPLANT NEW, 5 KG</t>
        </is>
      </c>
      <c r="F23" s="23" t="n">
        <v>0</v>
      </c>
      <c r="G23" s="24" t="n">
        <v>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/>
      <c r="M23" s="29" t="n">
        <v>0</v>
      </c>
      <c r="N23" s="30" t="n">
        <v>0</v>
      </c>
      <c r="O23" s="29" t="n">
        <v>0</v>
      </c>
      <c r="P23" s="30" t="n">
        <v>0</v>
      </c>
      <c r="Q23" s="29" t="n">
        <v>1100</v>
      </c>
      <c r="R23" s="30" t="n">
        <v>1100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SERBIA</t>
        </is>
      </c>
      <c r="C24" s="21" t="inlineStr">
        <is>
          <t>PLANTA SANA, D.O.O.</t>
        </is>
      </c>
      <c r="D24" s="20" t="inlineStr">
        <is>
          <t>C-CU0001</t>
        </is>
      </c>
      <c r="E24" s="22" t="inlineStr">
        <is>
          <t>CODICOBRE</t>
        </is>
      </c>
      <c r="F24" s="23" t="n">
        <v>0</v>
      </c>
      <c r="G24" s="24" t="n">
        <v>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/>
      <c r="M24" s="29" t="n">
        <v>0</v>
      </c>
      <c r="N24" s="30" t="n">
        <v>0</v>
      </c>
      <c r="O24" s="29" t="n">
        <v>0</v>
      </c>
      <c r="P24" s="30" t="n">
        <v>0</v>
      </c>
      <c r="Q24" s="29" t="n">
        <v>500</v>
      </c>
      <c r="R24" s="30" t="n">
        <v>500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SERBIA</t>
        </is>
      </c>
      <c r="C25" s="21" t="inlineStr">
        <is>
          <t>PLANTA SANA, D.O.O.</t>
        </is>
      </c>
      <c r="D25" s="20" t="inlineStr">
        <is>
          <t>FTK0020</t>
        </is>
      </c>
      <c r="E25" s="22" t="inlineStr">
        <is>
          <t>FITOKONTROL CA FLOW, 20 KG</t>
        </is>
      </c>
      <c r="F25" s="23" t="n">
        <v>0</v>
      </c>
      <c r="G25" s="24" t="n">
        <v>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/>
      <c r="M25" s="29" t="n">
        <v>0</v>
      </c>
      <c r="N25" s="30" t="n">
        <v>0</v>
      </c>
      <c r="O25" s="29" t="n">
        <v>0</v>
      </c>
      <c r="P25" s="30" t="n">
        <v>0</v>
      </c>
      <c r="Q25" s="29" t="n">
        <v>2200</v>
      </c>
      <c r="R25" s="30" t="n">
        <v>2200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SERBIA</t>
        </is>
      </c>
      <c r="C26" s="21" t="inlineStr">
        <is>
          <t>PLANTA SANA, D.O.O.</t>
        </is>
      </c>
      <c r="D26" s="20" t="inlineStr">
        <is>
          <t>RUN0001</t>
        </is>
      </c>
      <c r="E26" s="22" t="inlineStr">
        <is>
          <t>RUN STRESS, 1 L</t>
        </is>
      </c>
      <c r="F26" s="23" t="n">
        <v>0</v>
      </c>
      <c r="G26" s="24" t="n">
        <v>0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/>
      <c r="M26" s="29" t="n">
        <v>0</v>
      </c>
      <c r="N26" s="30" t="n">
        <v>0</v>
      </c>
      <c r="O26" s="29" t="n">
        <v>0</v>
      </c>
      <c r="P26" s="30" t="n">
        <v>0</v>
      </c>
      <c r="Q26" s="29" t="n">
        <v>960</v>
      </c>
      <c r="R26" s="30" t="n">
        <v>960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AZERBAIYÁN</t>
        </is>
      </c>
      <c r="C27" s="21" t="inlineStr">
        <is>
          <t>ZTB AQRO MMC</t>
        </is>
      </c>
      <c r="D27" s="20" t="inlineStr">
        <is>
          <t>AVAN0005</t>
        </is>
      </c>
      <c r="E27" s="22" t="inlineStr">
        <is>
          <t>FLORAMEC AVANCE, 5 L</t>
        </is>
      </c>
      <c r="F27" s="23" t="n">
        <v>0</v>
      </c>
      <c r="G27" s="24" t="n">
        <v>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/>
      <c r="M27" s="29" t="n">
        <v>0</v>
      </c>
      <c r="N27" s="30" t="n">
        <v>0</v>
      </c>
      <c r="O27" s="29" t="n">
        <v>0</v>
      </c>
      <c r="P27" s="30" t="n">
        <v>0</v>
      </c>
      <c r="Q27" s="29" t="n">
        <v>3000</v>
      </c>
      <c r="R27" s="30" t="n">
        <v>3000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AZERBAIYÁN</t>
        </is>
      </c>
      <c r="C28" s="21" t="inlineStr">
        <is>
          <t>ZTB AQRO MMC</t>
        </is>
      </c>
      <c r="D28" s="20" t="inlineStr">
        <is>
          <t>C-L0005</t>
        </is>
      </c>
      <c r="E28" s="22" t="inlineStr">
        <is>
          <t>CODIBOR-L, 5 L</t>
        </is>
      </c>
      <c r="F28" s="23" t="n">
        <v>0</v>
      </c>
      <c r="G28" s="24" t="n">
        <v>0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/>
      <c r="M28" s="29" t="n">
        <v>0</v>
      </c>
      <c r="N28" s="30" t="n">
        <v>0</v>
      </c>
      <c r="O28" s="29" t="n">
        <v>0</v>
      </c>
      <c r="P28" s="30" t="n">
        <v>0</v>
      </c>
      <c r="Q28" s="29" t="n">
        <v>3000</v>
      </c>
      <c r="R28" s="30" t="n">
        <v>3000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AZERBAIYÁN</t>
        </is>
      </c>
      <c r="C29" s="21" t="inlineStr">
        <is>
          <t>ZTB AQRO MMC</t>
        </is>
      </c>
      <c r="D29" s="20" t="inlineStr">
        <is>
          <t>C-L0020</t>
        </is>
      </c>
      <c r="E29" s="22" t="inlineStr">
        <is>
          <t>CODIBOR-L, 20 L</t>
        </is>
      </c>
      <c r="F29" s="23" t="n">
        <v>0</v>
      </c>
      <c r="G29" s="24" t="n">
        <v>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/>
      <c r="M29" s="29" t="n">
        <v>0</v>
      </c>
      <c r="N29" s="30" t="n">
        <v>0</v>
      </c>
      <c r="O29" s="29" t="n">
        <v>0</v>
      </c>
      <c r="P29" s="30" t="n">
        <v>0</v>
      </c>
      <c r="Q29" s="29" t="n">
        <v>2000</v>
      </c>
      <c r="R29" s="30" t="n">
        <v>2000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AZERBAIYÁN</t>
        </is>
      </c>
      <c r="C30" s="21" t="inlineStr">
        <is>
          <t>ZTB AQRO MMC</t>
        </is>
      </c>
      <c r="D30" s="20" t="inlineStr">
        <is>
          <t>CBROT0020</t>
        </is>
      </c>
      <c r="E30" s="22" t="inlineStr">
        <is>
          <t>CODIBROT, 20 L</t>
        </is>
      </c>
      <c r="F30" s="23" t="n">
        <v>0</v>
      </c>
      <c r="G30" s="24" t="n">
        <v>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/>
      <c r="M30" s="29" t="n">
        <v>0</v>
      </c>
      <c r="N30" s="30" t="n">
        <v>0</v>
      </c>
      <c r="O30" s="29" t="n">
        <v>0</v>
      </c>
      <c r="P30" s="30" t="n">
        <v>0</v>
      </c>
      <c r="Q30" s="29" t="n">
        <v>3000</v>
      </c>
      <c r="R30" s="30" t="n">
        <v>3000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AZERBAIYÁN</t>
        </is>
      </c>
      <c r="C31" s="21" t="inlineStr">
        <is>
          <t>ZTB AQRO MMC</t>
        </is>
      </c>
      <c r="D31" s="20" t="inlineStr">
        <is>
          <t>CM3M0001</t>
        </is>
      </c>
      <c r="E31" s="22" t="inlineStr">
        <is>
          <t>TENSOLINE-MAX, 1 L</t>
        </is>
      </c>
      <c r="F31" s="23" t="n">
        <v>0</v>
      </c>
      <c r="G31" s="24" t="n">
        <v>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/>
      <c r="M31" s="29" t="n">
        <v>0</v>
      </c>
      <c r="N31" s="30" t="n">
        <v>0</v>
      </c>
      <c r="O31" s="29" t="n">
        <v>0</v>
      </c>
      <c r="P31" s="30" t="n">
        <v>0</v>
      </c>
      <c r="Q31" s="29" t="n">
        <v>2000</v>
      </c>
      <c r="R31" s="30" t="n">
        <v>2000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AZERBAIYÁN</t>
        </is>
      </c>
      <c r="C32" s="21" t="inlineStr">
        <is>
          <t>ZTB AQRO MMC</t>
        </is>
      </c>
      <c r="D32" s="20" t="inlineStr">
        <is>
          <t>CZNMNES0001</t>
        </is>
      </c>
      <c r="E32" s="22" t="inlineStr">
        <is>
          <t>CODIFOL ZN-MN, 1 KG</t>
        </is>
      </c>
      <c r="F32" s="23" t="n">
        <v>0</v>
      </c>
      <c r="G32" s="24" t="n">
        <v>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/>
      <c r="M32" s="29" t="n">
        <v>0</v>
      </c>
      <c r="N32" s="30" t="n">
        <v>0</v>
      </c>
      <c r="O32" s="29" t="n">
        <v>0</v>
      </c>
      <c r="P32" s="30" t="n">
        <v>0</v>
      </c>
      <c r="Q32" s="29" t="n">
        <v>1000</v>
      </c>
      <c r="R32" s="30" t="n">
        <v>1000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AZERBAIYÁN</t>
        </is>
      </c>
      <c r="C33" s="21" t="inlineStr">
        <is>
          <t>ZTB AQRO MMC</t>
        </is>
      </c>
      <c r="D33" s="20" t="inlineStr">
        <is>
          <t>CZNMNES0005</t>
        </is>
      </c>
      <c r="E33" s="22" t="inlineStr">
        <is>
          <t>CODIFOL ZN-MN, 5 KG</t>
        </is>
      </c>
      <c r="F33" s="23" t="n">
        <v>0</v>
      </c>
      <c r="G33" s="24" t="n">
        <v>0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/>
      <c r="M33" s="29" t="n">
        <v>0</v>
      </c>
      <c r="N33" s="30" t="n">
        <v>0</v>
      </c>
      <c r="O33" s="29" t="n">
        <v>0</v>
      </c>
      <c r="P33" s="30" t="n">
        <v>0</v>
      </c>
      <c r="Q33" s="29" t="n">
        <v>1000</v>
      </c>
      <c r="R33" s="30" t="n">
        <v>1000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AZERBAIYÁN</t>
        </is>
      </c>
      <c r="C34" s="21" t="inlineStr">
        <is>
          <t>ZTB AQRO MMC</t>
        </is>
      </c>
      <c r="D34" s="20" t="inlineStr">
        <is>
          <t>N</t>
        </is>
      </c>
      <c r="E34" s="22" t="inlineStr">
        <is>
          <t>AMINOG AL , 1L</t>
        </is>
      </c>
      <c r="F34" s="23" t="n">
        <v>0</v>
      </c>
      <c r="G34" s="24" t="n">
        <v>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/>
      <c r="M34" s="29" t="n">
        <v>0</v>
      </c>
      <c r="N34" s="30" t="n">
        <v>0</v>
      </c>
      <c r="O34" s="29" t="n">
        <v>0</v>
      </c>
      <c r="P34" s="30" t="n">
        <v>0</v>
      </c>
      <c r="Q34" s="29" t="n">
        <v>4920</v>
      </c>
      <c r="R34" s="30" t="n">
        <v>4920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TURQUÍA</t>
        </is>
      </c>
      <c r="C35" s="21" t="inlineStr">
        <is>
          <t>ÇITAR ÇIÇEK TARIM TIC. LTD. STI</t>
        </is>
      </c>
      <c r="D35" s="20" t="inlineStr">
        <is>
          <t>A-501000</t>
        </is>
      </c>
      <c r="E35" s="22" t="inlineStr">
        <is>
          <t>CODIORGAN-A50, 1000 KG</t>
        </is>
      </c>
      <c r="F35" s="23" t="n">
        <v>0</v>
      </c>
      <c r="G35" s="24" t="n">
        <v>0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/>
      <c r="M35" s="29" t="n">
        <v>0</v>
      </c>
      <c r="N35" s="30" t="n">
        <v>0</v>
      </c>
      <c r="O35" s="29" t="n">
        <v>0</v>
      </c>
      <c r="P35" s="30" t="n">
        <v>0</v>
      </c>
      <c r="Q35" s="29" t="n">
        <v>2000</v>
      </c>
      <c r="R35" s="30" t="n">
        <v>2000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TURQUÍA</t>
        </is>
      </c>
      <c r="C36" s="21" t="inlineStr">
        <is>
          <t>ÇITAR ÇIÇEK TARIM TIC. LTD. STI</t>
        </is>
      </c>
      <c r="D36" s="20" t="inlineStr">
        <is>
          <t>AN0005</t>
        </is>
      </c>
      <c r="E36" s="22" t="inlineStr">
        <is>
          <t>ALCAPLANT NEW</t>
        </is>
      </c>
      <c r="F36" s="23" t="n">
        <v>0</v>
      </c>
      <c r="G36" s="24" t="n">
        <v>2200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>
        <is>
          <t>Pedido extra no previsto</t>
        </is>
      </c>
      <c r="M36" s="29" t="n">
        <v>0</v>
      </c>
      <c r="N36" s="30" t="n">
        <v>0</v>
      </c>
      <c r="O36" s="29" t="n">
        <v>0</v>
      </c>
      <c r="P36" s="30" t="n">
        <v>0</v>
      </c>
      <c r="Q36" s="29" t="n">
        <v>0</v>
      </c>
      <c r="R36" s="30" t="n">
        <v>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ESPAÑA</t>
        </is>
      </c>
      <c r="C37" s="21" t="inlineStr">
        <is>
          <t>ÇITAR ÇIÇEK TARIM TIC. LTD. STI</t>
        </is>
      </c>
      <c r="D37" s="20" t="inlineStr">
        <is>
          <t>BIO0020</t>
        </is>
      </c>
      <c r="E37" s="22" t="inlineStr">
        <is>
          <t>BIORAD-20, 20 L</t>
        </is>
      </c>
      <c r="F37" s="23" t="n">
        <v>0</v>
      </c>
      <c r="G37" s="24" t="n">
        <v>10060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>
        <is>
          <t>Pedido extra no previsto</t>
        </is>
      </c>
      <c r="M37" s="29" t="n">
        <v>0</v>
      </c>
      <c r="N37" s="30" t="n">
        <v>0</v>
      </c>
      <c r="O37" s="29" t="n">
        <v>0</v>
      </c>
      <c r="P37" s="30" t="n">
        <v>0</v>
      </c>
      <c r="Q37" s="29" t="n">
        <v>0</v>
      </c>
      <c r="R37" s="30" t="n">
        <v>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ESPAÑA</t>
        </is>
      </c>
      <c r="C38" s="21" t="inlineStr">
        <is>
          <t>ÇITAR ÇIÇEK TARIM TIC. LTD. STI</t>
        </is>
      </c>
      <c r="D38" s="20" t="inlineStr">
        <is>
          <t>BIO1000</t>
        </is>
      </c>
      <c r="E38" s="22" t="inlineStr">
        <is>
          <t>BIORAD-20, 1000 L</t>
        </is>
      </c>
      <c r="F38" s="23" t="n">
        <v>0</v>
      </c>
      <c r="G38" s="24" t="n">
        <v>11000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>
        <is>
          <t>Pedido extra no previsto</t>
        </is>
      </c>
      <c r="M38" s="29" t="n">
        <v>0</v>
      </c>
      <c r="N38" s="30" t="n">
        <v>0</v>
      </c>
      <c r="O38" s="29" t="n">
        <v>0</v>
      </c>
      <c r="P38" s="30" t="n">
        <v>0</v>
      </c>
      <c r="Q38" s="29" t="n">
        <v>0</v>
      </c>
      <c r="R38" s="30" t="n">
        <v>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ESPAÑA</t>
        </is>
      </c>
      <c r="C39" s="21" t="inlineStr">
        <is>
          <t>ÇITAR ÇIÇEK TARIM TIC. LTD. STI</t>
        </is>
      </c>
      <c r="D39" s="20" t="inlineStr">
        <is>
          <t>C-CU1000</t>
        </is>
      </c>
      <c r="E39" s="22" t="inlineStr">
        <is>
          <t>CODICOBRE, 1000 L</t>
        </is>
      </c>
      <c r="F39" s="23" t="n">
        <v>0</v>
      </c>
      <c r="G39" s="24" t="n">
        <v>1000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>
        <is>
          <t>Pedido extra no previsto</t>
        </is>
      </c>
      <c r="M39" s="29" t="n">
        <v>0</v>
      </c>
      <c r="N39" s="30" t="n">
        <v>0</v>
      </c>
      <c r="O39" s="29" t="n">
        <v>0</v>
      </c>
      <c r="P39" s="30" t="n">
        <v>0</v>
      </c>
      <c r="Q39" s="29" t="n">
        <v>0</v>
      </c>
      <c r="R39" s="30" t="n">
        <v>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TURQUÍA</t>
        </is>
      </c>
      <c r="C40" s="21" t="inlineStr">
        <is>
          <t>ÇITAR ÇIÇEK TARIM TIC. LTD. STI</t>
        </is>
      </c>
      <c r="D40" s="20" t="inlineStr">
        <is>
          <t>FTK0005</t>
        </is>
      </c>
      <c r="E40" s="22" t="inlineStr">
        <is>
          <t>FITOKONTROL CA FLOW, 5 KG</t>
        </is>
      </c>
      <c r="F40" s="23" t="n">
        <v>10000</v>
      </c>
      <c r="G40" s="24" t="n">
        <v>5500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/>
      <c r="M40" s="29" t="n">
        <v>0</v>
      </c>
      <c r="N40" s="30" t="n">
        <v>0</v>
      </c>
      <c r="O40" s="29" t="n">
        <v>0</v>
      </c>
      <c r="P40" s="30" t="n">
        <v>0</v>
      </c>
      <c r="Q40" s="29" t="n">
        <v>10000</v>
      </c>
      <c r="R40" s="30" t="n">
        <v>10000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TURQUÍA</t>
        </is>
      </c>
      <c r="C41" s="21" t="inlineStr">
        <is>
          <t>ÇITAR ÇIÇEK TARIM TIC. LTD. STI</t>
        </is>
      </c>
      <c r="D41" s="20" t="inlineStr">
        <is>
          <t>FU1000</t>
        </is>
      </c>
      <c r="E41" s="22" t="inlineStr">
        <is>
          <t>FULVIGIN, 1000 L</t>
        </is>
      </c>
      <c r="F41" s="23" t="n">
        <v>0</v>
      </c>
      <c r="G41" s="24" t="n">
        <v>1000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>
        <is>
          <t>Pedido extra no previsto</t>
        </is>
      </c>
      <c r="M41" s="29" t="n">
        <v>0</v>
      </c>
      <c r="N41" s="30" t="n">
        <v>0</v>
      </c>
      <c r="O41" s="29" t="n">
        <v>0</v>
      </c>
      <c r="P41" s="30" t="n">
        <v>0</v>
      </c>
      <c r="Q41" s="29" t="n">
        <v>1000</v>
      </c>
      <c r="R41" s="30" t="n">
        <v>1000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TURQUÍA</t>
        </is>
      </c>
      <c r="C42" s="21" t="inlineStr">
        <is>
          <t>ÇITAR ÇIÇEK TARIM TIC. LTD. STI</t>
        </is>
      </c>
      <c r="D42" s="20" t="inlineStr">
        <is>
          <t>RUN0001</t>
        </is>
      </c>
      <c r="E42" s="22" t="inlineStr">
        <is>
          <t>RUN STRESS, 1 L</t>
        </is>
      </c>
      <c r="F42" s="23" t="n">
        <v>1960</v>
      </c>
      <c r="G42" s="24" t="n">
        <v>1968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/>
      <c r="M42" s="29" t="n">
        <v>0</v>
      </c>
      <c r="N42" s="30" t="n">
        <v>0</v>
      </c>
      <c r="O42" s="29" t="n">
        <v>0</v>
      </c>
      <c r="P42" s="30" t="n">
        <v>0</v>
      </c>
      <c r="Q42" s="29" t="n">
        <v>0</v>
      </c>
      <c r="R42" s="30" t="n">
        <v>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TURQUÍA</t>
        </is>
      </c>
      <c r="C43" s="21" t="inlineStr">
        <is>
          <t>ÇİTAR ÇİÇEK TARIM TIC. LTD. STI</t>
        </is>
      </c>
      <c r="D43" s="20" t="inlineStr">
        <is>
          <t>AN0005</t>
        </is>
      </c>
      <c r="E43" s="22" t="inlineStr">
        <is>
          <t>ALCAPLANT NEW, 5 KG</t>
        </is>
      </c>
      <c r="F43" s="23" t="n">
        <v>5500</v>
      </c>
      <c r="G43" s="24" t="n">
        <v>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/>
      <c r="M43" s="29" t="n">
        <v>0</v>
      </c>
      <c r="N43" s="30" t="n">
        <v>0</v>
      </c>
      <c r="O43" s="29" t="n">
        <v>0</v>
      </c>
      <c r="P43" s="30" t="n">
        <v>0</v>
      </c>
      <c r="Q43" s="29" t="n">
        <v>15000</v>
      </c>
      <c r="R43" s="30" t="n">
        <v>15000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0" customHeight="1">
      <c r="B44" s="20" t="inlineStr">
        <is>
          <t>TURQUÍA</t>
        </is>
      </c>
      <c r="C44" s="21" t="inlineStr">
        <is>
          <t>ÇİTAR ÇİÇEK TARIM TIC. LTD. STI</t>
        </is>
      </c>
      <c r="D44" s="20" t="inlineStr">
        <is>
          <t>BIO0020</t>
        </is>
      </c>
      <c r="E44" s="22" t="inlineStr">
        <is>
          <t>BIORAD-20, 20 L</t>
        </is>
      </c>
      <c r="F44" s="23" t="n">
        <v>10000</v>
      </c>
      <c r="G44" s="24" t="n">
        <v>0</v>
      </c>
      <c r="H44" s="25">
        <f>G44-F44</f>
        <v/>
      </c>
      <c r="I44" s="23">
        <f>ABS(G44-F44)</f>
        <v/>
      </c>
      <c r="J44" s="26">
        <f>IF(F44&gt;0, G44/F44, IF(G44&gt;0, 1.0, 0.0))</f>
        <v/>
      </c>
      <c r="K44" s="27">
        <f>IF(F44&gt;0, 1.0 - (I44/F44), IF(G44=0, 1.0, 0.0))</f>
        <v/>
      </c>
      <c r="L44" s="28" t="inlineStr"/>
      <c r="M44" s="29" t="n">
        <v>0</v>
      </c>
      <c r="N44" s="30" t="n">
        <v>0</v>
      </c>
      <c r="O44" s="29" t="n">
        <v>0</v>
      </c>
      <c r="P44" s="30" t="n">
        <v>0</v>
      </c>
      <c r="Q44" s="29" t="n">
        <v>0</v>
      </c>
      <c r="R44" s="30" t="n">
        <v>0</v>
      </c>
      <c r="S44" s="23">
        <f>M44+O44+Q44</f>
        <v/>
      </c>
      <c r="T44" s="24">
        <f>N44+P44+R44</f>
        <v/>
      </c>
      <c r="U44" s="25">
        <f>T44-S44</f>
        <v/>
      </c>
      <c r="V44" s="31" t="inlineStr"/>
    </row>
    <row r="45" ht="20" customHeight="1">
      <c r="B45" s="20" t="inlineStr">
        <is>
          <t>TURQUÍA</t>
        </is>
      </c>
      <c r="C45" s="21" t="inlineStr">
        <is>
          <t>ÇİTAR ÇİÇEK TARIM TIC. LTD. STI</t>
        </is>
      </c>
      <c r="D45" s="20" t="inlineStr">
        <is>
          <t>BIO1000</t>
        </is>
      </c>
      <c r="E45" s="22" t="inlineStr">
        <is>
          <t>BIORAD-20, 1000 L</t>
        </is>
      </c>
      <c r="F45" s="23" t="n">
        <v>10000</v>
      </c>
      <c r="G45" s="24" t="n">
        <v>0</v>
      </c>
      <c r="H45" s="25">
        <f>G45-F45</f>
        <v/>
      </c>
      <c r="I45" s="23">
        <f>ABS(G45-F45)</f>
        <v/>
      </c>
      <c r="J45" s="26">
        <f>IF(F45&gt;0, G45/F45, IF(G45&gt;0, 1.0, 0.0))</f>
        <v/>
      </c>
      <c r="K45" s="27">
        <f>IF(F45&gt;0, 1.0 - (I45/F45), IF(G45=0, 1.0, 0.0))</f>
        <v/>
      </c>
      <c r="L45" s="28" t="inlineStr"/>
      <c r="M45" s="29" t="n">
        <v>0</v>
      </c>
      <c r="N45" s="30" t="n">
        <v>0</v>
      </c>
      <c r="O45" s="29" t="n">
        <v>0</v>
      </c>
      <c r="P45" s="30" t="n">
        <v>0</v>
      </c>
      <c r="Q45" s="29" t="n">
        <v>0</v>
      </c>
      <c r="R45" s="30" t="n">
        <v>0</v>
      </c>
      <c r="S45" s="23">
        <f>M45+O45+Q45</f>
        <v/>
      </c>
      <c r="T45" s="24">
        <f>N45+P45+R45</f>
        <v/>
      </c>
      <c r="U45" s="25">
        <f>T45-S45</f>
        <v/>
      </c>
      <c r="V45" s="31" t="inlineStr"/>
    </row>
    <row r="46" ht="20" customHeight="1">
      <c r="B46" s="20" t="inlineStr">
        <is>
          <t>TURQUÍA</t>
        </is>
      </c>
      <c r="C46" s="21" t="inlineStr">
        <is>
          <t>ÇİTAR ÇİÇEK TARIM TIC. LTD. STI</t>
        </is>
      </c>
      <c r="D46" s="20" t="inlineStr">
        <is>
          <t>C-CU1000</t>
        </is>
      </c>
      <c r="E46" s="22" t="inlineStr">
        <is>
          <t>CODICOBRE, 1000 L</t>
        </is>
      </c>
      <c r="F46" s="23" t="n">
        <v>2000</v>
      </c>
      <c r="G46" s="24" t="n">
        <v>0</v>
      </c>
      <c r="H46" s="25">
        <f>G46-F46</f>
        <v/>
      </c>
      <c r="I46" s="23">
        <f>ABS(G46-F46)</f>
        <v/>
      </c>
      <c r="J46" s="26">
        <f>IF(F46&gt;0, G46/F46, IF(G46&gt;0, 1.0, 0.0))</f>
        <v/>
      </c>
      <c r="K46" s="27">
        <f>IF(F46&gt;0, 1.0 - (I46/F46), IF(G46=0, 1.0, 0.0))</f>
        <v/>
      </c>
      <c r="L46" s="28" t="inlineStr"/>
      <c r="M46" s="29" t="n">
        <v>0</v>
      </c>
      <c r="N46" s="30" t="n">
        <v>0</v>
      </c>
      <c r="O46" s="29" t="n">
        <v>0</v>
      </c>
      <c r="P46" s="30" t="n">
        <v>0</v>
      </c>
      <c r="Q46" s="29" t="n">
        <v>0</v>
      </c>
      <c r="R46" s="30" t="n">
        <v>0</v>
      </c>
      <c r="S46" s="23">
        <f>M46+O46+Q46</f>
        <v/>
      </c>
      <c r="T46" s="24">
        <f>N46+P46+R46</f>
        <v/>
      </c>
      <c r="U46" s="25">
        <f>T46-S46</f>
        <v/>
      </c>
      <c r="V46" s="31" t="inlineStr"/>
    </row>
    <row r="47" ht="20" customHeight="1">
      <c r="B47" s="20" t="inlineStr">
        <is>
          <t>TURQUÍA</t>
        </is>
      </c>
      <c r="C47" s="21" t="inlineStr">
        <is>
          <t>ÇİTAR ÇİÇEK TARIM TIC. LTD. STI</t>
        </is>
      </c>
      <c r="D47" s="20" t="inlineStr">
        <is>
          <t>CZNMNES1000</t>
        </is>
      </c>
      <c r="E47" s="22" t="inlineStr">
        <is>
          <t>CODIFOL ZN-MN, 1000 KG</t>
        </is>
      </c>
      <c r="F47" s="23" t="n">
        <v>0</v>
      </c>
      <c r="G47" s="24" t="n">
        <v>0</v>
      </c>
      <c r="H47" s="25">
        <f>G47-F47</f>
        <v/>
      </c>
      <c r="I47" s="23">
        <f>ABS(G47-F47)</f>
        <v/>
      </c>
      <c r="J47" s="26">
        <f>IF(F47&gt;0, G47/F47, IF(G47&gt;0, 1.0, 0.0))</f>
        <v/>
      </c>
      <c r="K47" s="27">
        <f>IF(F47&gt;0, 1.0 - (I47/F47), IF(G47=0, 1.0, 0.0))</f>
        <v/>
      </c>
      <c r="L47" s="28" t="inlineStr"/>
      <c r="M47" s="29" t="n">
        <v>0</v>
      </c>
      <c r="N47" s="30" t="n">
        <v>0</v>
      </c>
      <c r="O47" s="29" t="n">
        <v>0</v>
      </c>
      <c r="P47" s="30" t="n">
        <v>0</v>
      </c>
      <c r="Q47" s="29" t="n">
        <v>2000</v>
      </c>
      <c r="R47" s="30" t="n">
        <v>2000</v>
      </c>
      <c r="S47" s="23">
        <f>M47+O47+Q47</f>
        <v/>
      </c>
      <c r="T47" s="24">
        <f>N47+P47+R47</f>
        <v/>
      </c>
      <c r="U47" s="25">
        <f>T47-S47</f>
        <v/>
      </c>
      <c r="V47" s="31" t="inlineStr"/>
    </row>
    <row r="48" ht="25" customHeight="1">
      <c r="B48" s="32" t="inlineStr">
        <is>
          <t>TOTAL CONSOLIDADO - MEHMET (UNIDADES)</t>
        </is>
      </c>
      <c r="C48" s="33" t="n"/>
      <c r="D48" s="33" t="n"/>
      <c r="E48" s="33" t="n"/>
      <c r="F48" s="34">
        <f>SUM(F10:F47)</f>
        <v/>
      </c>
      <c r="G48" s="34">
        <f>SUM(G10:G47)</f>
        <v/>
      </c>
      <c r="H48" s="35">
        <f>SUM(H10:H47)</f>
        <v/>
      </c>
      <c r="I48" s="34">
        <f>SUM(I10:I47)</f>
        <v/>
      </c>
      <c r="J48" s="36">
        <f>IF(F48&gt;0, G48/F48, 1.0)</f>
        <v/>
      </c>
      <c r="K48" s="36">
        <f>IF(F48&gt;0, 1.0 - (I48/F48), 1.0)</f>
        <v/>
      </c>
      <c r="L48" s="37" t="n"/>
      <c r="M48" s="34">
        <f>SUM(M10:M47)</f>
        <v/>
      </c>
      <c r="N48" s="34">
        <f>SUM(N10:N47)</f>
        <v/>
      </c>
      <c r="O48" s="34">
        <f>SUM(O10:O47)</f>
        <v/>
      </c>
      <c r="P48" s="34">
        <f>SUM(P10:P47)</f>
        <v/>
      </c>
      <c r="Q48" s="34">
        <f>SUM(Q10:Q47)</f>
        <v/>
      </c>
      <c r="R48" s="34">
        <f>SUM(R10:R47)</f>
        <v/>
      </c>
      <c r="S48" s="34">
        <f>SUM(S10:S47)</f>
        <v/>
      </c>
      <c r="T48" s="34">
        <f>SUM(T10:T47)</f>
        <v/>
      </c>
      <c r="U48" s="35">
        <f>SUM(U10:U47)</f>
        <v/>
      </c>
      <c r="V48" s="37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8:E48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2026-10-01T08:45:30Z</dcterms:created>
  <dcterms:modified xmlns:dcterms="http://purl.org/dc/terms/" xmlns:xsi="http://www.w3.org/2001/XMLSchema-instance" xsi:type="dcterms:W3CDTF">2026-10-01T08:45:30Z</dcterms:modified>
</cp:coreProperties>
</file>