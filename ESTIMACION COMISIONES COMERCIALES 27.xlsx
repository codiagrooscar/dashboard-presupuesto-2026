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A46F7CA1-947B-44D0-85CC-462D63C91C4D}" xr6:coauthVersionLast="47" xr6:coauthVersionMax="47" xr10:uidLastSave="{00000000-0000-0000-0000-000000000000}"/>
  <bookViews>
    <workbookView xWindow="-110" yWindow="-110" windowWidth="25820" windowHeight="13900" xr2:uid="{5255586A-E97A-4577-857B-09A5350A37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0" i="1" l="1"/>
  <c r="H24" i="1" s="1"/>
  <c r="H23" i="1"/>
  <c r="C23" i="1"/>
  <c r="E22" i="1"/>
  <c r="E21" i="1"/>
  <c r="H21" i="1" s="1"/>
  <c r="H17" i="1"/>
  <c r="H18" i="1"/>
  <c r="H19" i="1"/>
  <c r="H16" i="1"/>
  <c r="G20" i="1"/>
  <c r="F20" i="1"/>
  <c r="E20" i="1"/>
  <c r="F16" i="1"/>
  <c r="H22" i="1"/>
  <c r="E16" i="1" l="1"/>
  <c r="C19" i="1"/>
  <c r="D18" i="1"/>
  <c r="C18" i="1"/>
  <c r="D17" i="1"/>
  <c r="C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ALMA</author>
  </authors>
  <commentList>
    <comment ref="E16" authorId="0" shapeId="0" xr:uid="{06E1B78A-3A9C-4C85-B5FE-7F457DA72E26}">
      <text>
        <r>
          <rPr>
            <b/>
            <sz val="9"/>
            <color indexed="81"/>
            <rFont val="Tahoma"/>
            <family val="2"/>
          </rPr>
          <t>ALMA:</t>
        </r>
        <r>
          <rPr>
            <sz val="9"/>
            <color indexed="81"/>
            <rFont val="Tahoma"/>
            <family val="2"/>
          </rPr>
          <t xml:space="preserve">
EL 2% DE CHILE, COSTA RICA, PANAMA, MEXICO, HOLANDA, PERU, EEUU..
</t>
        </r>
      </text>
    </comment>
    <comment ref="E20" authorId="0" shapeId="0" xr:uid="{759D8F4E-7A29-4109-8E67-F9B9CB796F6D}">
      <text>
        <r>
          <rPr>
            <b/>
            <sz val="9"/>
            <color indexed="81"/>
            <rFont val="Tahoma"/>
            <family val="2"/>
          </rPr>
          <t>ALMA:</t>
        </r>
        <r>
          <rPr>
            <sz val="9"/>
            <color indexed="81"/>
            <rFont val="Tahoma"/>
            <family val="2"/>
          </rPr>
          <t xml:space="preserve">
EL 2% DE ANDALUCIA
</t>
        </r>
      </text>
    </comment>
    <comment ref="F20" authorId="0" shapeId="0" xr:uid="{FC5E7C39-28F9-4FCC-B03E-7AC9F107A1C7}">
      <text>
        <r>
          <rPr>
            <b/>
            <sz val="9"/>
            <color indexed="81"/>
            <rFont val="Tahoma"/>
            <family val="2"/>
          </rPr>
          <t>ALMA:</t>
        </r>
        <r>
          <rPr>
            <sz val="9"/>
            <color indexed="81"/>
            <rFont val="Tahoma"/>
            <family val="2"/>
          </rPr>
          <t xml:space="preserve">
El 1%
rumania &amp; egipto </t>
        </r>
      </text>
    </comment>
    <comment ref="G20" authorId="0" shapeId="0" xr:uid="{7262006C-2934-4F1F-9A1A-DFC11EE40F76}">
      <text>
        <r>
          <rPr>
            <b/>
            <sz val="9"/>
            <color indexed="81"/>
            <rFont val="Tahoma"/>
            <family val="2"/>
          </rPr>
          <t>ALMA:</t>
        </r>
        <r>
          <rPr>
            <sz val="9"/>
            <color indexed="81"/>
            <rFont val="Tahoma"/>
            <family val="2"/>
          </rPr>
          <t xml:space="preserve">
El 2% de MARRUECOS, ARGELIA, GRECIA &amp; LIBANO
</t>
        </r>
      </text>
    </comment>
  </commentList>
</comments>
</file>

<file path=xl/sharedStrings.xml><?xml version="1.0" encoding="utf-8"?>
<sst xmlns="http://schemas.openxmlformats.org/spreadsheetml/2006/main" count="32" uniqueCount="26">
  <si>
    <t>RICARDO</t>
  </si>
  <si>
    <t>GARCIA</t>
  </si>
  <si>
    <t>JAVIER PAREDES</t>
  </si>
  <si>
    <t>ANTONIO</t>
  </si>
  <si>
    <t>IRENE</t>
  </si>
  <si>
    <t>MANUEL</t>
  </si>
  <si>
    <t>IVAN</t>
  </si>
  <si>
    <t>el 27% del 2% del resultado bruto generado antes imp. Sociedades</t>
  </si>
  <si>
    <t>el 19% del 2% del beneficio de la sociendad antes del impuesto de sociedades año anterior</t>
  </si>
  <si>
    <t>15% del 0,5 % sobre imp.neto cifra negocio año anterior (sobre ventas)</t>
  </si>
  <si>
    <t>VARIABLE</t>
  </si>
  <si>
    <t>COMISIONES</t>
  </si>
  <si>
    <t>EBITDA 2026 AJUSTADO</t>
  </si>
  <si>
    <t>VENTAS 2026</t>
  </si>
  <si>
    <t>VENTAS ANDALUCIA</t>
  </si>
  <si>
    <t>VENTAS ALMERIA</t>
  </si>
  <si>
    <t>VENTAS RIC. CHILE,COSTA RICA,EEUE…</t>
  </si>
  <si>
    <t>VENTAS MURCIA Y ALICANTE</t>
  </si>
  <si>
    <t>VENTAS RUMANIA &amp; EGIPTO</t>
  </si>
  <si>
    <t>VENTAS MARRUECOS,ARGELIA,GRECIA &amp; LIBANO</t>
  </si>
  <si>
    <t>VENTAS CANARIAS</t>
  </si>
  <si>
    <t>PRODUCCION</t>
  </si>
  <si>
    <t>TOTAL</t>
  </si>
  <si>
    <t>comisiones</t>
  </si>
  <si>
    <t>PERE</t>
  </si>
  <si>
    <t xml:space="preserve">50% COMISIONES PREVISTAS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</si>
</sst>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3" borderId="1" xfId="0" applyFont="1" applyFill="1" applyBorder="1" applyAlignment="1">
      <alignment horizontal="center"/>
    </xf>
    <xf numFmtId="164" fontId="0" fillId="3" borderId="1" xfId="0" applyNumberFormat="1" applyFill="1" applyBorder="1"/>
    <xf numFmtId="0" fontId="1" fillId="0" borderId="1" xfId="0" applyFont="1" applyBorder="1"/>
    <xf numFmtId="0" fontId="2" fillId="4" borderId="0" xfId="0" applyFont="1" applyFill="1"/>
    <xf numFmtId="164" fontId="0" fillId="4" borderId="0" xfId="0" applyNumberFormat="1" applyFill="1"/>
    <xf numFmtId="164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CCED-831A-4E3F-8CFB-7477CC87CB58}">
  <dimension ref="A2:I24"/>
  <sheetViews>
    <sheetView tabSelected="1" topLeftCell="A4" workbookViewId="0">
      <selection activeCell="C13" sqref="C13"/>
    </sheetView>
  </sheetViews>
  <sheetFormatPr baseColWidth="10" defaultRowHeight="14.5" x14ac:dyDescent="0.35"/>
  <cols>
    <col min="1" max="1" width="11.453125" customWidth="1"/>
    <col min="2" max="2" width="37.453125" customWidth="1"/>
    <col min="3" max="3" width="16.26953125" customWidth="1"/>
    <col min="4" max="4" width="15.81640625" customWidth="1"/>
    <col min="5" max="5" width="17.26953125" customWidth="1"/>
    <col min="6" max="7" width="15.26953125" customWidth="1"/>
    <col min="8" max="8" width="16" customWidth="1"/>
  </cols>
  <sheetData>
    <row r="2" spans="1:8" x14ac:dyDescent="0.35">
      <c r="B2" s="2" t="s">
        <v>12</v>
      </c>
      <c r="C2" s="1">
        <v>6153000</v>
      </c>
    </row>
    <row r="3" spans="1:8" x14ac:dyDescent="0.35">
      <c r="B3" s="2" t="s">
        <v>13</v>
      </c>
      <c r="C3" s="1">
        <v>15180000</v>
      </c>
    </row>
    <row r="4" spans="1:8" x14ac:dyDescent="0.35">
      <c r="C4" s="1"/>
    </row>
    <row r="5" spans="1:8" x14ac:dyDescent="0.35">
      <c r="A5" t="s">
        <v>1</v>
      </c>
      <c r="B5" s="11" t="s">
        <v>14</v>
      </c>
      <c r="C5" s="12">
        <v>1897252</v>
      </c>
    </row>
    <row r="6" spans="1:8" x14ac:dyDescent="0.35">
      <c r="B6" s="3" t="s">
        <v>15</v>
      </c>
      <c r="C6" s="1">
        <v>1328840</v>
      </c>
    </row>
    <row r="7" spans="1:8" x14ac:dyDescent="0.35">
      <c r="B7" s="3" t="s">
        <v>16</v>
      </c>
      <c r="C7" s="1">
        <v>4326460</v>
      </c>
    </row>
    <row r="8" spans="1:8" x14ac:dyDescent="0.35">
      <c r="B8" s="3" t="s">
        <v>17</v>
      </c>
      <c r="C8" s="1">
        <v>1764883</v>
      </c>
    </row>
    <row r="9" spans="1:8" x14ac:dyDescent="0.35">
      <c r="B9" s="3" t="s">
        <v>15</v>
      </c>
      <c r="C9" s="1">
        <v>1251433</v>
      </c>
    </row>
    <row r="10" spans="1:8" x14ac:dyDescent="0.35">
      <c r="A10" t="s">
        <v>1</v>
      </c>
      <c r="B10" s="11" t="s">
        <v>18</v>
      </c>
      <c r="C10" s="12">
        <v>4837508</v>
      </c>
    </row>
    <row r="11" spans="1:8" x14ac:dyDescent="0.35">
      <c r="A11" t="s">
        <v>1</v>
      </c>
      <c r="B11" s="11" t="s">
        <v>19</v>
      </c>
      <c r="C11" s="12">
        <v>1111094</v>
      </c>
    </row>
    <row r="12" spans="1:8" x14ac:dyDescent="0.35">
      <c r="B12" s="3" t="s">
        <v>20</v>
      </c>
      <c r="C12" s="1">
        <v>658221</v>
      </c>
    </row>
    <row r="15" spans="1:8" x14ac:dyDescent="0.35">
      <c r="C15" s="6" t="s">
        <v>10</v>
      </c>
      <c r="D15" s="6" t="s">
        <v>21</v>
      </c>
      <c r="E15" s="6" t="s">
        <v>11</v>
      </c>
      <c r="F15" s="6" t="s">
        <v>11</v>
      </c>
      <c r="G15" s="6" t="s">
        <v>23</v>
      </c>
      <c r="H15" s="8" t="s">
        <v>22</v>
      </c>
    </row>
    <row r="16" spans="1:8" x14ac:dyDescent="0.35">
      <c r="A16" t="s">
        <v>7</v>
      </c>
      <c r="B16" s="7" t="s">
        <v>0</v>
      </c>
      <c r="C16" s="5">
        <f>C2*0.27*0.02</f>
        <v>33226.199999999997</v>
      </c>
      <c r="D16" s="4">
        <v>0</v>
      </c>
      <c r="E16" s="5">
        <f>C7*2%</f>
        <v>86529.2</v>
      </c>
      <c r="F16" s="5">
        <f>C8*1%</f>
        <v>17648.830000000002</v>
      </c>
      <c r="G16" s="5"/>
      <c r="H16" s="9">
        <f>SUM(C16:G16)</f>
        <v>137404.22999999998</v>
      </c>
    </row>
    <row r="17" spans="1:9" x14ac:dyDescent="0.35">
      <c r="A17" t="s">
        <v>9</v>
      </c>
      <c r="B17" s="7" t="s">
        <v>3</v>
      </c>
      <c r="C17" s="4"/>
      <c r="D17" s="5">
        <f>C3*0.15*0.005</f>
        <v>11385</v>
      </c>
      <c r="E17" s="4"/>
      <c r="F17" s="4"/>
      <c r="G17" s="4"/>
      <c r="H17" s="9">
        <f t="shared" ref="H17:H21" si="0">SUM(C17:G17)</f>
        <v>11385</v>
      </c>
    </row>
    <row r="18" spans="1:9" x14ac:dyDescent="0.35">
      <c r="A18" t="s">
        <v>7</v>
      </c>
      <c r="B18" s="7" t="s">
        <v>5</v>
      </c>
      <c r="C18" s="5">
        <f>C2*0.27*0.02</f>
        <v>33226.199999999997</v>
      </c>
      <c r="D18" s="5">
        <f>C3*0.3*0.005</f>
        <v>22770</v>
      </c>
      <c r="E18" s="4"/>
      <c r="F18" s="4"/>
      <c r="G18" s="4"/>
      <c r="H18" s="9">
        <f t="shared" si="0"/>
        <v>55996.2</v>
      </c>
    </row>
    <row r="19" spans="1:9" x14ac:dyDescent="0.35">
      <c r="A19" t="s">
        <v>8</v>
      </c>
      <c r="B19" s="7" t="s">
        <v>6</v>
      </c>
      <c r="C19" s="5">
        <f>C2*0.19*0.02</f>
        <v>23381.4</v>
      </c>
      <c r="D19" s="4"/>
      <c r="E19" s="4"/>
      <c r="F19" s="4"/>
      <c r="G19" s="4"/>
      <c r="H19" s="9">
        <f t="shared" si="0"/>
        <v>23381.4</v>
      </c>
    </row>
    <row r="20" spans="1:9" x14ac:dyDescent="0.35">
      <c r="B20" s="7" t="s">
        <v>1</v>
      </c>
      <c r="C20" s="4"/>
      <c r="D20" s="4"/>
      <c r="E20" s="5">
        <f>C5*2%</f>
        <v>37945.040000000001</v>
      </c>
      <c r="F20" s="13">
        <f>C10*1%</f>
        <v>48375.08</v>
      </c>
      <c r="G20" s="13">
        <f>C11*2%</f>
        <v>22221.88</v>
      </c>
      <c r="H20" s="9">
        <f>SUM(C20:G20)/2</f>
        <v>54271</v>
      </c>
      <c r="I20" t="s">
        <v>25</v>
      </c>
    </row>
    <row r="21" spans="1:9" x14ac:dyDescent="0.35">
      <c r="B21" s="7" t="s">
        <v>2</v>
      </c>
      <c r="C21" s="4"/>
      <c r="D21" s="4"/>
      <c r="E21" s="5">
        <f>C12*1%</f>
        <v>6582.21</v>
      </c>
      <c r="F21" s="4"/>
      <c r="G21" s="4"/>
      <c r="H21" s="9">
        <f t="shared" si="0"/>
        <v>6582.21</v>
      </c>
    </row>
    <row r="22" spans="1:9" x14ac:dyDescent="0.35">
      <c r="B22" s="7" t="s">
        <v>4</v>
      </c>
      <c r="C22" s="4"/>
      <c r="D22" s="4"/>
      <c r="E22" s="5">
        <f>C6*1%</f>
        <v>13288.4</v>
      </c>
      <c r="F22" s="4"/>
      <c r="G22" s="4"/>
      <c r="H22" s="9">
        <f t="shared" ref="H22:H23" si="1">SUM(C22:F22)</f>
        <v>13288.4</v>
      </c>
    </row>
    <row r="23" spans="1:9" x14ac:dyDescent="0.35">
      <c r="B23" s="10" t="s">
        <v>24</v>
      </c>
      <c r="C23" s="4">
        <f>145000*40%</f>
        <v>58000</v>
      </c>
      <c r="D23" s="4"/>
      <c r="E23" s="4"/>
      <c r="F23" s="4"/>
      <c r="G23" s="4"/>
      <c r="H23" s="9">
        <f t="shared" si="1"/>
        <v>58000</v>
      </c>
    </row>
    <row r="24" spans="1:9" x14ac:dyDescent="0.35">
      <c r="H24" s="1">
        <f>SUM(H16:H23)</f>
        <v>360308.44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</dc:creator>
  <cp:lastModifiedBy>Oscar Ocampo</cp:lastModifiedBy>
  <dcterms:created xsi:type="dcterms:W3CDTF">2026-09-29T07:06:23Z</dcterms:created>
  <dcterms:modified xsi:type="dcterms:W3CDTF">2026-10-01T06:05:44Z</dcterms:modified>
</cp:coreProperties>
</file>