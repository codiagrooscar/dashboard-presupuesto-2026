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General" sheetId="1" state="visible" r:id="rId1"/>
    <sheet xmlns:r="http://schemas.openxmlformats.org/officeDocument/2006/relationships" name="Alfonso" sheetId="2" state="visible" r:id="rId2"/>
    <sheet xmlns:r="http://schemas.openxmlformats.org/officeDocument/2006/relationships" name="García" sheetId="3" state="visible" r:id="rId3"/>
    <sheet xmlns:r="http://schemas.openxmlformats.org/officeDocument/2006/relationships" name="Irene" sheetId="4" state="visible" r:id="rId4"/>
    <sheet xmlns:r="http://schemas.openxmlformats.org/officeDocument/2006/relationships" name="Javier" sheetId="5" state="visible" r:id="rId5"/>
    <sheet xmlns:r="http://schemas.openxmlformats.org/officeDocument/2006/relationships" name="Mehmet" sheetId="6" state="visible" r:id="rId6"/>
    <sheet xmlns:r="http://schemas.openxmlformats.org/officeDocument/2006/relationships" name="Pedro" sheetId="7" state="visible" r:id="rId7"/>
    <sheet xmlns:r="http://schemas.openxmlformats.org/officeDocument/2006/relationships" name="Ricard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94A3B8"/>
      <sz val="10"/>
    </font>
    <font>
      <name val="Segoe UI"/>
      <b val="1"/>
      <color rgb="0064748B"/>
      <sz val="9"/>
    </font>
    <font>
      <name val="Segoe UI"/>
      <b val="1"/>
      <color rgb="000F172A"/>
      <sz val="14"/>
    </font>
    <font>
      <name val="Segoe UI"/>
      <b val="1"/>
      <color rgb="00047857"/>
      <sz val="14"/>
    </font>
    <font>
      <name val="Segoe UI"/>
      <b val="1"/>
      <color rgb="00B45309"/>
      <sz val="14"/>
    </font>
    <font>
      <name val="Segoe UI"/>
      <b val="1"/>
      <color rgb="000F172A"/>
      <sz val="12"/>
    </font>
    <font>
      <name val="Segoe UI"/>
      <b val="1"/>
      <color rgb="00FFFFFF"/>
      <sz val="10"/>
    </font>
    <font>
      <name val="Segoe UI"/>
      <b val="1"/>
      <color rgb="000F172A"/>
      <sz val="10"/>
    </font>
    <font>
      <name val="Segoe UI"/>
      <color rgb="001E293B"/>
      <sz val="10"/>
    </font>
    <font>
      <name val="Segoe UI"/>
      <b val="1"/>
      <color rgb="000F172A"/>
      <sz val="13"/>
    </font>
    <font>
      <name val="Segoe UI"/>
      <b val="1"/>
      <color rgb="00047857"/>
      <sz val="13"/>
    </font>
    <font>
      <name val="Segoe UI"/>
      <b val="1"/>
      <color rgb="000F172A"/>
      <sz val="11"/>
    </font>
    <font>
      <name val="Segoe UI"/>
      <b val="1"/>
      <color rgb="00166534"/>
      <sz val="9"/>
    </font>
    <font>
      <name val="Segoe UI"/>
      <b val="1"/>
      <color rgb="0092400E"/>
      <sz val="9"/>
    </font>
    <font>
      <name val="Segoe UI"/>
      <color rgb="0064748B"/>
      <sz val="9"/>
    </font>
    <font>
      <name val="Segoe UI"/>
      <b val="1"/>
      <color rgb="00991B1B"/>
      <sz val="9"/>
    </font>
    <font>
      <name val="Segoe UI"/>
      <b val="1"/>
      <color rgb="00B45309"/>
      <sz val="13"/>
    </font>
  </fonts>
  <fills count="11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ECFDF5"/>
        <bgColor rgb="00ECFDF5"/>
      </patternFill>
    </fill>
    <fill>
      <patternFill patternType="solid">
        <fgColor rgb="00FEF3C7"/>
        <bgColor rgb="00FEF3C7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94A3B8"/>
      </top>
      <bottom style="double">
        <color rgb="000F172A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4" fontId="10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center" vertical="center"/>
    </xf>
    <xf numFmtId="4" fontId="10" fillId="7" borderId="1" applyAlignment="1" pivotButton="0" quotePrefix="0" xfId="0">
      <alignment horizontal="right" vertical="center"/>
    </xf>
    <xf numFmtId="164" fontId="9" fillId="7" borderId="1" applyAlignment="1" pivotButton="0" quotePrefix="0" xfId="0">
      <alignment horizontal="center" vertical="center"/>
    </xf>
    <xf numFmtId="0" fontId="9" fillId="8" borderId="2" applyAlignment="1" pivotButton="0" quotePrefix="0" xfId="0">
      <alignment horizontal="left" vertical="center"/>
    </xf>
    <xf numFmtId="0" fontId="9" fillId="8" borderId="2" applyAlignment="1" pivotButton="0" quotePrefix="0" xfId="0">
      <alignment horizontal="center" vertical="center"/>
    </xf>
    <xf numFmtId="4" fontId="9" fillId="8" borderId="2" applyAlignment="1" pivotButton="0" quotePrefix="0" xfId="0">
      <alignment horizontal="right" vertical="center"/>
    </xf>
    <xf numFmtId="164" fontId="9" fillId="8" borderId="2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3" fillId="0" borderId="0" pivotButton="0" quotePrefix="0" xfId="0"/>
    <xf numFmtId="0" fontId="10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0" fontId="10" fillId="8" borderId="2" pivotButton="0" quotePrefix="0" xfId="0"/>
    <xf numFmtId="0" fontId="16" fillId="4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Estimación Septiembre vs Pedidos Reales por Comercial (Unidades)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 General'!D9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 General'!$B$10:$B$16</f>
            </numRef>
          </cat>
          <val>
            <numRef>
              <f>'Resumen General'!$D$10:$D$16</f>
            </numRef>
          </val>
        </ser>
        <ser>
          <idx val="1"/>
          <order val="1"/>
          <tx>
            <strRef>
              <f>'Resumen General'!E9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 General'!$B$10:$B$16</f>
            </numRef>
          </cat>
          <val>
            <numRef>
              <f>'Resumen General'!$E$10:$E$16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Comercial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Unidades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18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6" customWidth="1" min="3" max="3"/>
    <col width="16" customWidth="1" min="4" max="4"/>
    <col width="16" customWidth="1" min="5" max="5"/>
    <col width="15" customWidth="1" min="6" max="6"/>
    <col width="15" customWidth="1" min="7" max="7"/>
    <col width="18" customWidth="1" min="8" max="8"/>
    <col width="16" customWidth="1" min="9" max="9"/>
    <col width="15" customWidth="1" min="10" max="10"/>
    <col width="16" customWidth="1" min="11" max="11"/>
  </cols>
  <sheetData>
    <row r="2" ht="40" customHeight="1">
      <c r="B2" s="1" t="inlineStr">
        <is>
          <t>CODIAGRO - SEGUIMIENTO DIARIO DE VENTAS (SEPTIEMBRE 2026)</t>
        </is>
      </c>
    </row>
    <row r="3" ht="20" customHeight="1">
      <c r="B3" s="2" t="inlineStr">
        <is>
          <t>Comparativa Estimación Septiembre (Unidades) vs Pedidos Reales a Fecha 30/09/2026 | Generado: 30/10/2026 07:28</t>
        </is>
      </c>
    </row>
    <row r="5" ht="18" customHeight="1">
      <c r="B5" s="3" t="inlineStr">
        <is>
          <t>ESTIMACIÓN SEP (UDS)</t>
        </is>
      </c>
      <c r="C5" s="4" t="n"/>
      <c r="D5" s="5" t="inlineStr">
        <is>
          <t>PEDIDOS REALES (UDS)</t>
        </is>
      </c>
      <c r="E5" s="4" t="n"/>
      <c r="F5" s="5" t="inlineStr">
        <is>
          <t>% CONSECUCIÓN GLOBAL</t>
        </is>
      </c>
      <c r="G5" s="4" t="n"/>
      <c r="H5" s="6" t="inlineStr">
        <is>
          <t>FALTA CONSEGUIR (GAP)</t>
        </is>
      </c>
      <c r="I5" s="4" t="n"/>
      <c r="J5" s="3" t="inlineStr">
        <is>
          <t>PENDIENTES (U)</t>
        </is>
      </c>
    </row>
    <row r="6" ht="28" customHeight="1">
      <c r="B6" s="7" t="inlineStr">
        <is>
          <t>172,503 u</t>
        </is>
      </c>
      <c r="C6" s="4" t="n"/>
      <c r="D6" s="8" t="inlineStr">
        <is>
          <t>236,105 u</t>
        </is>
      </c>
      <c r="E6" s="4" t="n"/>
      <c r="F6" s="8" t="inlineStr">
        <is>
          <t>136.9%</t>
        </is>
      </c>
      <c r="G6" s="4" t="n"/>
      <c r="H6" s="9" t="inlineStr">
        <is>
          <t>12,558 u</t>
        </is>
      </c>
      <c r="I6" s="4" t="n"/>
      <c r="J6" s="7" t="inlineStr">
        <is>
          <t>35,774 u</t>
        </is>
      </c>
    </row>
    <row r="8">
      <c r="B8" s="10" t="inlineStr">
        <is>
          <t>RESUMEN CONSOLIDADO POR COMERCIAL (UNIDADES)</t>
        </is>
      </c>
    </row>
    <row r="9" ht="25" customHeight="1">
      <c r="B9" s="11" t="inlineStr">
        <is>
          <t>Comercial</t>
        </is>
      </c>
      <c r="C9" s="11" t="inlineStr">
        <is>
          <t>Clientes Activos</t>
        </is>
      </c>
      <c r="D9" s="11" t="inlineStr">
        <is>
          <t>Estimación Sep (u)</t>
        </is>
      </c>
      <c r="E9" s="11" t="inlineStr">
        <is>
          <t>Pedidos Sep (u)</t>
        </is>
      </c>
      <c r="F9" s="11" t="inlineStr">
        <is>
          <t>Servidas (u)</t>
        </is>
      </c>
      <c r="G9" s="11" t="inlineStr">
        <is>
          <t>Pendientes (u)</t>
        </is>
      </c>
      <c r="H9" s="11" t="inlineStr">
        <is>
          <t>Falta Conseguir (u)</t>
        </is>
      </c>
      <c r="I9" s="11" t="inlineStr">
        <is>
          <t>Desviación (u)</t>
        </is>
      </c>
      <c r="J9" s="11" t="inlineStr">
        <is>
          <t>% Consecución</t>
        </is>
      </c>
    </row>
    <row r="10">
      <c r="B10" s="12" t="inlineStr">
        <is>
          <t>Alfonso</t>
        </is>
      </c>
      <c r="C10" s="13" t="n">
        <v>12</v>
      </c>
      <c r="D10" s="14" t="n">
        <v>2199.3511</v>
      </c>
      <c r="E10" s="14" t="n">
        <v>11874</v>
      </c>
      <c r="F10" s="14" t="n">
        <v>11874</v>
      </c>
      <c r="G10" s="14" t="n">
        <v>0</v>
      </c>
      <c r="H10" s="14">
        <f>MAX(0, D10-E10)</f>
        <v/>
      </c>
      <c r="I10" s="14">
        <f>'Alfonso'!J41</f>
        <v/>
      </c>
      <c r="J10" s="15">
        <f>IF(D10&gt;0, E10/D10, IF(E10&gt;0, 1, 0))</f>
        <v/>
      </c>
    </row>
    <row r="11">
      <c r="B11" s="16" t="inlineStr">
        <is>
          <t>García</t>
        </is>
      </c>
      <c r="C11" s="17" t="n">
        <v>9</v>
      </c>
      <c r="D11" s="18" t="n">
        <v>35864.5898</v>
      </c>
      <c r="E11" s="18" t="n">
        <v>57312</v>
      </c>
      <c r="F11" s="18" t="n">
        <v>57312</v>
      </c>
      <c r="G11" s="18" t="n">
        <v>0</v>
      </c>
      <c r="H11" s="18">
        <f>MAX(0, D11-E11)</f>
        <v/>
      </c>
      <c r="I11" s="18">
        <f>'García'!J56</f>
        <v/>
      </c>
      <c r="J11" s="19">
        <f>IF(D11&gt;0, E11/D11, IF(E11&gt;0, 1, 0))</f>
        <v/>
      </c>
    </row>
    <row r="12">
      <c r="B12" s="12" t="inlineStr">
        <is>
          <t>Irene</t>
        </is>
      </c>
      <c r="C12" s="13" t="n">
        <v>3</v>
      </c>
      <c r="D12" s="14" t="n">
        <v>20774.3872</v>
      </c>
      <c r="E12" s="14" t="n">
        <v>23674</v>
      </c>
      <c r="F12" s="14" t="n">
        <v>23674</v>
      </c>
      <c r="G12" s="14" t="n">
        <v>0</v>
      </c>
      <c r="H12" s="14">
        <f>MAX(0, D12-E12)</f>
        <v/>
      </c>
      <c r="I12" s="14">
        <f>'Irene'!J46</f>
        <v/>
      </c>
      <c r="J12" s="15">
        <f>IF(D12&gt;0, E12/D12, IF(E12&gt;0, 1, 0))</f>
        <v/>
      </c>
    </row>
    <row r="13">
      <c r="B13" s="16" t="inlineStr">
        <is>
          <t>Javier</t>
        </is>
      </c>
      <c r="C13" s="17" t="n">
        <v>8</v>
      </c>
      <c r="D13" s="18" t="n">
        <v>16210.7339</v>
      </c>
      <c r="E13" s="18" t="n">
        <v>47049</v>
      </c>
      <c r="F13" s="18" t="n">
        <v>42519</v>
      </c>
      <c r="G13" s="18" t="n">
        <v>4530</v>
      </c>
      <c r="H13" s="18">
        <f>MAX(0, D13-E13)</f>
        <v/>
      </c>
      <c r="I13" s="18">
        <f>'Javier'!J56</f>
        <v/>
      </c>
      <c r="J13" s="19">
        <f>IF(D13&gt;0, E13/D13, IF(E13&gt;0, 1, 0))</f>
        <v/>
      </c>
    </row>
    <row r="14">
      <c r="B14" s="12" t="inlineStr">
        <is>
          <t>Mehmet</t>
        </is>
      </c>
      <c r="C14" s="13" t="n">
        <v>1</v>
      </c>
      <c r="D14" s="14" t="n">
        <v>37407.92769999999</v>
      </c>
      <c r="E14" s="14" t="n">
        <v>32728</v>
      </c>
      <c r="F14" s="14" t="n">
        <v>11668</v>
      </c>
      <c r="G14" s="14" t="n">
        <v>21060</v>
      </c>
      <c r="H14" s="14">
        <f>MAX(0, D14-E14)</f>
        <v/>
      </c>
      <c r="I14" s="14">
        <f>'Mehmet'!J17</f>
        <v/>
      </c>
      <c r="J14" s="15">
        <f>IF(D14&gt;0, E14/D14, IF(E14&gt;0, 1, 0))</f>
        <v/>
      </c>
    </row>
    <row r="15">
      <c r="B15" s="16" t="inlineStr">
        <is>
          <t>Pedro</t>
        </is>
      </c>
      <c r="C15" s="17" t="n">
        <v>3</v>
      </c>
      <c r="D15" s="18" t="n">
        <v>16438.2531</v>
      </c>
      <c r="E15" s="18" t="n">
        <v>8560</v>
      </c>
      <c r="F15" s="18" t="n">
        <v>8560</v>
      </c>
      <c r="G15" s="18" t="n">
        <v>0</v>
      </c>
      <c r="H15" s="18">
        <f>MAX(0, D15-E15)</f>
        <v/>
      </c>
      <c r="I15" s="18">
        <f>'Pedro'!J33</f>
        <v/>
      </c>
      <c r="J15" s="19">
        <f>IF(D15&gt;0, E15/D15, IF(E15&gt;0, 1, 0))</f>
        <v/>
      </c>
    </row>
    <row r="16">
      <c r="B16" s="12" t="inlineStr">
        <is>
          <t>Ricardo</t>
        </is>
      </c>
      <c r="C16" s="13" t="n">
        <v>6</v>
      </c>
      <c r="D16" s="14" t="n">
        <v>43607.82249999999</v>
      </c>
      <c r="E16" s="14" t="n">
        <v>54908</v>
      </c>
      <c r="F16" s="14" t="n">
        <v>44724</v>
      </c>
      <c r="G16" s="14" t="n">
        <v>10184</v>
      </c>
      <c r="H16" s="14">
        <f>MAX(0, D16-E16)</f>
        <v/>
      </c>
      <c r="I16" s="14">
        <f>'Ricardo'!J44</f>
        <v/>
      </c>
      <c r="J16" s="15">
        <f>IF(D16&gt;0, E16/D16, IF(E16&gt;0, 1, 0))</f>
        <v/>
      </c>
    </row>
    <row r="17" ht="24" customHeight="1">
      <c r="B17" s="20" t="inlineStr">
        <is>
          <t>TOTAL GENERAL</t>
        </is>
      </c>
      <c r="C17" s="21">
        <f>SUM(C10:C16)</f>
        <v/>
      </c>
      <c r="D17" s="22">
        <f>SUM(D10:D16)</f>
        <v/>
      </c>
      <c r="E17" s="22">
        <f>SUM(E10:E16)</f>
        <v/>
      </c>
      <c r="F17" s="22">
        <f>SUM(F10:F16)</f>
        <v/>
      </c>
      <c r="G17" s="22">
        <f>SUM(G10:G16)</f>
        <v/>
      </c>
      <c r="H17" s="22">
        <f>SUM(H10:H16)</f>
        <v/>
      </c>
      <c r="I17" s="22">
        <f>SUM(I10:I16)</f>
        <v/>
      </c>
      <c r="J17" s="23">
        <f>IF(D17&gt;0, E17/D17, 0)</f>
        <v/>
      </c>
    </row>
  </sheetData>
  <mergeCells count="10">
    <mergeCell ref="D6:E6"/>
    <mergeCell ref="B6:C6"/>
    <mergeCell ref="B3:J3"/>
    <mergeCell ref="H6:I6"/>
    <mergeCell ref="B5:C5"/>
    <mergeCell ref="F5:G5"/>
    <mergeCell ref="D5:E5"/>
    <mergeCell ref="F6:G6"/>
    <mergeCell ref="H5:I5"/>
    <mergeCell ref="B2:J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4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28" customWidth="1" min="4" max="4"/>
    <col width="14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  <col width="14" customWidth="1" min="11" max="11"/>
    <col width="16" customWidth="1" min="12" max="12"/>
  </cols>
  <sheetData>
    <row r="2" ht="36" customHeight="1">
      <c r="B2" s="1" t="inlineStr">
        <is>
          <t>CODIAGRO - SEGUIMIENTO COMERCIAL: ALFONSO (UNIDADES)</t>
        </is>
      </c>
    </row>
    <row r="3" ht="18" customHeight="1">
      <c r="B3" s="2" t="inlineStr">
        <is>
          <t>Seguimiento diario de Previsión Septiembre 2026 vs Pedidos a Fecha 30/09/2026</t>
        </is>
      </c>
    </row>
    <row r="5" ht="16" customHeight="1">
      <c r="B5" s="3" t="inlineStr">
        <is>
          <t>ESTIMACIÓN SEP (U)</t>
        </is>
      </c>
      <c r="C5" s="4" t="n"/>
      <c r="D5" s="5" t="inlineStr">
        <is>
          <t>PEDIDOS REALES (U)</t>
        </is>
      </c>
      <c r="E5" s="4" t="n"/>
      <c r="F5" s="5" t="inlineStr">
        <is>
          <t>% CONSECUCIÓN</t>
        </is>
      </c>
      <c r="G5" s="4" t="n"/>
      <c r="H5" s="5" t="inlineStr">
        <is>
          <t>FALTA CONSEGUIR (GAP)</t>
        </is>
      </c>
      <c r="I5" s="4" t="n"/>
      <c r="J5" s="3" t="inlineStr">
        <is>
          <t>PENDIENTES SERVIR (U)</t>
        </is>
      </c>
      <c r="K5" s="4" t="n"/>
    </row>
    <row r="6" ht="25" customHeight="1">
      <c r="B6" s="24" t="inlineStr">
        <is>
          <t>2,199 u</t>
        </is>
      </c>
      <c r="C6" s="4" t="n"/>
      <c r="D6" s="25" t="inlineStr">
        <is>
          <t>11,874 u</t>
        </is>
      </c>
      <c r="E6" s="4" t="n"/>
      <c r="F6" s="25" t="inlineStr">
        <is>
          <t>539.9%</t>
        </is>
      </c>
      <c r="G6" s="4" t="n"/>
      <c r="H6" s="25" t="inlineStr">
        <is>
          <t>0 u</t>
        </is>
      </c>
      <c r="I6" s="4" t="n"/>
      <c r="J6" s="24" t="inlineStr">
        <is>
          <t>0 u</t>
        </is>
      </c>
      <c r="K6" s="4" t="n"/>
    </row>
    <row r="8">
      <c r="B8" s="26" t="inlineStr">
        <is>
          <t>DETALLE COMPARATIVO POR CLIENTE Y ARTÍCULO - ALFONSO (UNIDADES)</t>
        </is>
      </c>
    </row>
    <row r="9" ht="25" customHeight="1">
      <c r="B9" s="11" t="inlineStr">
        <is>
          <t>Cliente</t>
        </is>
      </c>
      <c r="C9" s="11" t="inlineStr">
        <is>
          <t>Cód. Artículo</t>
        </is>
      </c>
      <c r="D9" s="11" t="inlineStr">
        <is>
          <t>Descripción Artículo</t>
        </is>
      </c>
      <c r="E9" s="11" t="inlineStr">
        <is>
          <t>Estimación Sep (u)</t>
        </is>
      </c>
      <c r="F9" s="11" t="inlineStr">
        <is>
          <t>Pedidos Sep (u)</t>
        </is>
      </c>
      <c r="G9" s="11" t="inlineStr">
        <is>
          <t>Servidas (u)</t>
        </is>
      </c>
      <c r="H9" s="11" t="inlineStr">
        <is>
          <t>Pendientes (u)</t>
        </is>
      </c>
      <c r="I9" s="11" t="inlineStr">
        <is>
          <t>Falta (u)</t>
        </is>
      </c>
      <c r="J9" s="11" t="inlineStr">
        <is>
          <t>Desv. (u)</t>
        </is>
      </c>
      <c r="K9" s="11" t="inlineStr">
        <is>
          <t>% Consec.</t>
        </is>
      </c>
      <c r="L9" s="11" t="inlineStr">
        <is>
          <t>Estado</t>
        </is>
      </c>
    </row>
    <row r="10">
      <c r="B10" s="27" t="inlineStr">
        <is>
          <t>ACTIV. PRODUC. Y COMERC. LA VEGUILLA, SL</t>
        </is>
      </c>
      <c r="C10" s="28" t="inlineStr">
        <is>
          <t>BIO0020</t>
        </is>
      </c>
      <c r="D10" s="27" t="inlineStr">
        <is>
          <t>BIORAD-20, 20 L</t>
        </is>
      </c>
      <c r="E10" s="14" t="n">
        <v>910.0762999999999</v>
      </c>
      <c r="F10" s="14" t="n">
        <v>1280</v>
      </c>
      <c r="G10" s="14" t="n">
        <v>1280</v>
      </c>
      <c r="H10" s="14" t="n">
        <v>0</v>
      </c>
      <c r="I10" s="14">
        <f>MAX(0, E10-F10)</f>
        <v/>
      </c>
      <c r="J10" s="14">
        <f>ABS(F10-E10)</f>
        <v/>
      </c>
      <c r="K10" s="15">
        <f>IF(E10&gt;0, F10/E10, IF(F10&gt;0, 1, 0))</f>
        <v/>
      </c>
      <c r="L10" s="29" t="inlineStr">
        <is>
          <t>Superado</t>
        </is>
      </c>
    </row>
    <row r="11">
      <c r="B11" s="30" t="inlineStr">
        <is>
          <t>ACTIV. PRODUC. Y COMERC. LA VEGUILLA, SL</t>
        </is>
      </c>
      <c r="C11" s="31" t="inlineStr">
        <is>
          <t>BROTA0020</t>
        </is>
      </c>
      <c r="D11" s="30" t="inlineStr">
        <is>
          <t>BROTAMEC, 20 L</t>
        </is>
      </c>
      <c r="E11" s="18" t="n">
        <v>910.0762999999999</v>
      </c>
      <c r="F11" s="18" t="n">
        <v>1920</v>
      </c>
      <c r="G11" s="18" t="n">
        <v>1920</v>
      </c>
      <c r="H11" s="18" t="n">
        <v>0</v>
      </c>
      <c r="I11" s="18">
        <f>MAX(0, E11-F11)</f>
        <v/>
      </c>
      <c r="J11" s="18">
        <f>ABS(F11-E11)</f>
        <v/>
      </c>
      <c r="K11" s="19">
        <f>IF(E11&gt;0, F11/E11, IF(F11&gt;0, 1, 0))</f>
        <v/>
      </c>
      <c r="L11" s="32" t="inlineStr">
        <is>
          <t>Superado</t>
        </is>
      </c>
    </row>
    <row r="12">
      <c r="B12" s="27" t="inlineStr">
        <is>
          <t>AGRICOLA DEL JUCAR DE CUENCA, S.L.</t>
        </is>
      </c>
      <c r="C12" s="28" t="inlineStr">
        <is>
          <t>C-CU0020</t>
        </is>
      </c>
      <c r="D12" s="27" t="inlineStr">
        <is>
          <t>CODICOBRE, 20 L</t>
        </is>
      </c>
      <c r="E12" s="14" t="n">
        <v>0</v>
      </c>
      <c r="F12" s="14" t="n">
        <v>100</v>
      </c>
      <c r="G12" s="14" t="n">
        <v>100</v>
      </c>
      <c r="H12" s="14" t="n">
        <v>0</v>
      </c>
      <c r="I12" s="14">
        <f>MAX(0, E12-F12)</f>
        <v/>
      </c>
      <c r="J12" s="14">
        <f>ABS(F12-E12)</f>
        <v/>
      </c>
      <c r="K12" s="15">
        <f>IF(E12&gt;0, F12/E12, IF(F12&gt;0, 1, 0))</f>
        <v/>
      </c>
      <c r="L12" s="29" t="inlineStr">
        <is>
          <t>Extra Estimación</t>
        </is>
      </c>
    </row>
    <row r="13">
      <c r="B13" s="30" t="inlineStr">
        <is>
          <t>AGRICOLA DEL JUCAR DE CUENCA, S.L.</t>
        </is>
      </c>
      <c r="C13" s="31" t="inlineStr">
        <is>
          <t>C-L0020</t>
        </is>
      </c>
      <c r="D13" s="30" t="inlineStr">
        <is>
          <t>CODIBOR-L, 20 L</t>
        </is>
      </c>
      <c r="E13" s="18" t="n">
        <v>0</v>
      </c>
      <c r="F13" s="18" t="n">
        <v>200</v>
      </c>
      <c r="G13" s="18" t="n">
        <v>200</v>
      </c>
      <c r="H13" s="18" t="n">
        <v>0</v>
      </c>
      <c r="I13" s="18">
        <f>MAX(0, E13-F13)</f>
        <v/>
      </c>
      <c r="J13" s="18">
        <f>ABS(F13-E13)</f>
        <v/>
      </c>
      <c r="K13" s="19">
        <f>IF(E13&gt;0, F13/E13, IF(F13&gt;0, 1, 0))</f>
        <v/>
      </c>
      <c r="L13" s="32" t="inlineStr">
        <is>
          <t>Extra Estimación</t>
        </is>
      </c>
    </row>
    <row r="14">
      <c r="B14" s="27" t="inlineStr">
        <is>
          <t>AGROTÉCNICA DEL NORTE, S.L</t>
        </is>
      </c>
      <c r="C14" s="28" t="inlineStr">
        <is>
          <t>A-50(2)0005</t>
        </is>
      </c>
      <c r="D14" s="27" t="inlineStr">
        <is>
          <t>CODIORGAN-A50, 5 KG</t>
        </is>
      </c>
      <c r="E14" s="14" t="n">
        <v>0</v>
      </c>
      <c r="F14" s="14" t="n">
        <v>500</v>
      </c>
      <c r="G14" s="14" t="n">
        <v>500</v>
      </c>
      <c r="H14" s="14" t="n">
        <v>0</v>
      </c>
      <c r="I14" s="14">
        <f>MAX(0, E14-F14)</f>
        <v/>
      </c>
      <c r="J14" s="14">
        <f>ABS(F14-E14)</f>
        <v/>
      </c>
      <c r="K14" s="15">
        <f>IF(E14&gt;0, F14/E14, IF(F14&gt;0, 1, 0))</f>
        <v/>
      </c>
      <c r="L14" s="29" t="inlineStr">
        <is>
          <t>Extra Estimación</t>
        </is>
      </c>
    </row>
    <row r="15">
      <c r="B15" s="30" t="inlineStr">
        <is>
          <t>AGROTÉCNICA DEL NORTE, S.L</t>
        </is>
      </c>
      <c r="C15" s="31" t="inlineStr">
        <is>
          <t>AGRMG0005</t>
        </is>
      </c>
      <c r="D15" s="30" t="inlineStr">
        <is>
          <t>AGROXIGREEN-MG, 5 L</t>
        </is>
      </c>
      <c r="E15" s="18" t="n">
        <v>0</v>
      </c>
      <c r="F15" s="18" t="n">
        <v>300</v>
      </c>
      <c r="G15" s="18" t="n">
        <v>300</v>
      </c>
      <c r="H15" s="18" t="n">
        <v>0</v>
      </c>
      <c r="I15" s="18">
        <f>MAX(0, E15-F15)</f>
        <v/>
      </c>
      <c r="J15" s="18">
        <f>ABS(F15-E15)</f>
        <v/>
      </c>
      <c r="K15" s="19">
        <f>IF(E15&gt;0, F15/E15, IF(F15&gt;0, 1, 0))</f>
        <v/>
      </c>
      <c r="L15" s="32" t="inlineStr">
        <is>
          <t>Extra Estimación</t>
        </is>
      </c>
    </row>
    <row r="16">
      <c r="B16" s="27" t="inlineStr">
        <is>
          <t>AGROTÉCNICA DEL NORTE, S.L</t>
        </is>
      </c>
      <c r="C16" s="28" t="inlineStr">
        <is>
          <t>PT0005</t>
        </is>
      </c>
      <c r="D16" s="27" t="inlineStr">
        <is>
          <t>AGROPOTASION, 5 L</t>
        </is>
      </c>
      <c r="E16" s="14" t="n">
        <v>0</v>
      </c>
      <c r="F16" s="14" t="n">
        <v>400</v>
      </c>
      <c r="G16" s="14" t="n">
        <v>400</v>
      </c>
      <c r="H16" s="14" t="n">
        <v>0</v>
      </c>
      <c r="I16" s="14">
        <f>MAX(0, E16-F16)</f>
        <v/>
      </c>
      <c r="J16" s="14">
        <f>ABS(F16-E16)</f>
        <v/>
      </c>
      <c r="K16" s="15">
        <f>IF(E16&gt;0, F16/E16, IF(F16&gt;0, 1, 0))</f>
        <v/>
      </c>
      <c r="L16" s="29" t="inlineStr">
        <is>
          <t>Extra Estimación</t>
        </is>
      </c>
    </row>
    <row r="17">
      <c r="B17" s="30" t="inlineStr">
        <is>
          <t>AGROVEYCA,S.L</t>
        </is>
      </c>
      <c r="C17" s="31" t="inlineStr">
        <is>
          <t>A-50(2)0005</t>
        </is>
      </c>
      <c r="D17" s="30" t="inlineStr">
        <is>
          <t>CODIORGAN-A50, 5 KG</t>
        </is>
      </c>
      <c r="E17" s="18" t="n">
        <v>0</v>
      </c>
      <c r="F17" s="18" t="n">
        <v>400</v>
      </c>
      <c r="G17" s="18" t="n">
        <v>400</v>
      </c>
      <c r="H17" s="18" t="n">
        <v>0</v>
      </c>
      <c r="I17" s="18">
        <f>MAX(0, E17-F17)</f>
        <v/>
      </c>
      <c r="J17" s="18">
        <f>ABS(F17-E17)</f>
        <v/>
      </c>
      <c r="K17" s="19">
        <f>IF(E17&gt;0, F17/E17, IF(F17&gt;0, 1, 0))</f>
        <v/>
      </c>
      <c r="L17" s="32" t="inlineStr">
        <is>
          <t>Extra Estimación</t>
        </is>
      </c>
    </row>
    <row r="18">
      <c r="B18" s="27" t="inlineStr">
        <is>
          <t>AGROVEYCA,S.L</t>
        </is>
      </c>
      <c r="C18" s="28" t="inlineStr">
        <is>
          <t>BIO0020</t>
        </is>
      </c>
      <c r="D18" s="27" t="inlineStr">
        <is>
          <t>BIORAD-20, 20 L</t>
        </is>
      </c>
      <c r="E18" s="14" t="n">
        <v>379.1985</v>
      </c>
      <c r="F18" s="14" t="n">
        <v>320</v>
      </c>
      <c r="G18" s="14" t="n">
        <v>320</v>
      </c>
      <c r="H18" s="14" t="n">
        <v>0</v>
      </c>
      <c r="I18" s="14">
        <f>MAX(0, E18-F18)</f>
        <v/>
      </c>
      <c r="J18" s="14">
        <f>ABS(F18-E18)</f>
        <v/>
      </c>
      <c r="K18" s="15">
        <f>IF(E18&gt;0, F18/E18, IF(F18&gt;0, 1, 0))</f>
        <v/>
      </c>
      <c r="L18" s="33" t="inlineStr">
        <is>
          <t>En Curso</t>
        </is>
      </c>
    </row>
    <row r="19">
      <c r="B19" s="30" t="inlineStr">
        <is>
          <t>ASOC. HORTICULTORES DE VILLA DEL PRADO</t>
        </is>
      </c>
      <c r="C19" s="31" t="inlineStr">
        <is>
          <t>A-50(2)0005</t>
        </is>
      </c>
      <c r="D19" s="30" t="inlineStr">
        <is>
          <t>CODIORGAN A-50, 5 KG</t>
        </is>
      </c>
      <c r="E19" s="18" t="n">
        <v>0</v>
      </c>
      <c r="F19" s="18" t="n">
        <v>50</v>
      </c>
      <c r="G19" s="18" t="n">
        <v>50</v>
      </c>
      <c r="H19" s="18" t="n">
        <v>0</v>
      </c>
      <c r="I19" s="18">
        <f>MAX(0, E19-F19)</f>
        <v/>
      </c>
      <c r="J19" s="18">
        <f>ABS(F19-E19)</f>
        <v/>
      </c>
      <c r="K19" s="19">
        <f>IF(E19&gt;0, F19/E19, IF(F19&gt;0, 1, 0))</f>
        <v/>
      </c>
      <c r="L19" s="32" t="inlineStr">
        <is>
          <t>Extra Estimación</t>
        </is>
      </c>
    </row>
    <row r="20">
      <c r="B20" s="27" t="inlineStr">
        <is>
          <t>ASOC. HORTICULTORES DE VILLA DEL PRADO</t>
        </is>
      </c>
      <c r="C20" s="28" t="inlineStr">
        <is>
          <t>AVAN0005</t>
        </is>
      </c>
      <c r="D20" s="27" t="inlineStr">
        <is>
          <t>FLORAMEC AVANCE, 5 L</t>
        </is>
      </c>
      <c r="E20" s="14" t="n">
        <v>0</v>
      </c>
      <c r="F20" s="14" t="n">
        <v>100</v>
      </c>
      <c r="G20" s="14" t="n">
        <v>100</v>
      </c>
      <c r="H20" s="14" t="n">
        <v>0</v>
      </c>
      <c r="I20" s="14">
        <f>MAX(0, E20-F20)</f>
        <v/>
      </c>
      <c r="J20" s="14">
        <f>ABS(F20-E20)</f>
        <v/>
      </c>
      <c r="K20" s="15">
        <f>IF(E20&gt;0, F20/E20, IF(F20&gt;0, 1, 0))</f>
        <v/>
      </c>
      <c r="L20" s="29" t="inlineStr">
        <is>
          <t>Extra Estimación</t>
        </is>
      </c>
    </row>
    <row r="21">
      <c r="B21" s="30" t="inlineStr">
        <is>
          <t>ASOC. HORTICULTORES DE VILLA DEL PRADO</t>
        </is>
      </c>
      <c r="C21" s="31" t="inlineStr">
        <is>
          <t>C-CU0005</t>
        </is>
      </c>
      <c r="D21" s="30" t="inlineStr">
        <is>
          <t>CODICOBRE, 5 L</t>
        </is>
      </c>
      <c r="E21" s="18" t="n">
        <v>0</v>
      </c>
      <c r="F21" s="18" t="n">
        <v>20</v>
      </c>
      <c r="G21" s="18" t="n">
        <v>20</v>
      </c>
      <c r="H21" s="18" t="n">
        <v>0</v>
      </c>
      <c r="I21" s="18">
        <f>MAX(0, E21-F21)</f>
        <v/>
      </c>
      <c r="J21" s="18">
        <f>ABS(F21-E21)</f>
        <v/>
      </c>
      <c r="K21" s="19">
        <f>IF(E21&gt;0, F21/E21, IF(F21&gt;0, 1, 0))</f>
        <v/>
      </c>
      <c r="L21" s="32" t="inlineStr">
        <is>
          <t>Extra Estimación</t>
        </is>
      </c>
    </row>
    <row r="22">
      <c r="B22" s="27" t="inlineStr">
        <is>
          <t>ASOC. HORTICULTORES DE VILLA DEL PRADO</t>
        </is>
      </c>
      <c r="C22" s="28" t="inlineStr">
        <is>
          <t>S0020</t>
        </is>
      </c>
      <c r="D22" s="27" t="inlineStr">
        <is>
          <t>SALWAX STAR, 20 L</t>
        </is>
      </c>
      <c r="E22" s="14" t="n">
        <v>0</v>
      </c>
      <c r="F22" s="14" t="n">
        <v>40</v>
      </c>
      <c r="G22" s="14" t="n">
        <v>40</v>
      </c>
      <c r="H22" s="14" t="n">
        <v>0</v>
      </c>
      <c r="I22" s="14">
        <f>MAX(0, E22-F22)</f>
        <v/>
      </c>
      <c r="J22" s="14">
        <f>ABS(F22-E22)</f>
        <v/>
      </c>
      <c r="K22" s="15">
        <f>IF(E22&gt;0, F22/E22, IF(F22&gt;0, 1, 0))</f>
        <v/>
      </c>
      <c r="L22" s="29" t="inlineStr">
        <is>
          <t>Extra Estimación</t>
        </is>
      </c>
    </row>
    <row r="23">
      <c r="B23" s="30" t="inlineStr">
        <is>
          <t>BARDENAS COMERCIAL, S.L.</t>
        </is>
      </c>
      <c r="C23" s="31" t="inlineStr">
        <is>
          <t>AGRMG0005</t>
        </is>
      </c>
      <c r="D23" s="30" t="inlineStr">
        <is>
          <t>AGROXIGREEN-MG, 5 L</t>
        </is>
      </c>
      <c r="E23" s="18" t="n">
        <v>0</v>
      </c>
      <c r="F23" s="18" t="n">
        <v>300</v>
      </c>
      <c r="G23" s="18" t="n">
        <v>300</v>
      </c>
      <c r="H23" s="18" t="n">
        <v>0</v>
      </c>
      <c r="I23" s="18">
        <f>MAX(0, E23-F23)</f>
        <v/>
      </c>
      <c r="J23" s="18">
        <f>ABS(F23-E23)</f>
        <v/>
      </c>
      <c r="K23" s="19">
        <f>IF(E23&gt;0, F23/E23, IF(F23&gt;0, 1, 0))</f>
        <v/>
      </c>
      <c r="L23" s="32" t="inlineStr">
        <is>
          <t>Extra Estimación</t>
        </is>
      </c>
    </row>
    <row r="24">
      <c r="B24" s="27" t="inlineStr">
        <is>
          <t>BARDENAS COMERCIAL, S.L.</t>
        </is>
      </c>
      <c r="C24" s="28" t="inlineStr">
        <is>
          <t>PT0005</t>
        </is>
      </c>
      <c r="D24" s="27" t="inlineStr">
        <is>
          <t>AGROPOTASION, 5 L</t>
        </is>
      </c>
      <c r="E24" s="14" t="n">
        <v>0</v>
      </c>
      <c r="F24" s="14" t="n">
        <v>300</v>
      </c>
      <c r="G24" s="14" t="n">
        <v>300</v>
      </c>
      <c r="H24" s="14" t="n">
        <v>0</v>
      </c>
      <c r="I24" s="14">
        <f>MAX(0, E24-F24)</f>
        <v/>
      </c>
      <c r="J24" s="14">
        <f>ABS(F24-E24)</f>
        <v/>
      </c>
      <c r="K24" s="15">
        <f>IF(E24&gt;0, F24/E24, IF(F24&gt;0, 1, 0))</f>
        <v/>
      </c>
      <c r="L24" s="29" t="inlineStr">
        <is>
          <t>Extra Estimación</t>
        </is>
      </c>
    </row>
    <row r="25">
      <c r="B25" s="30" t="inlineStr">
        <is>
          <t>COMERCIAL NORTE AGROCAMPO, S.L.</t>
        </is>
      </c>
      <c r="C25" s="31" t="inlineStr">
        <is>
          <t>A-50(2)0020</t>
        </is>
      </c>
      <c r="D25" s="30" t="inlineStr">
        <is>
          <t>CODIORGAN-A50, 20 KG</t>
        </is>
      </c>
      <c r="E25" s="18" t="n">
        <v>0</v>
      </c>
      <c r="F25" s="18" t="n">
        <v>40</v>
      </c>
      <c r="G25" s="18" t="n">
        <v>40</v>
      </c>
      <c r="H25" s="18" t="n">
        <v>0</v>
      </c>
      <c r="I25" s="18">
        <f>MAX(0, E25-F25)</f>
        <v/>
      </c>
      <c r="J25" s="18">
        <f>ABS(F25-E25)</f>
        <v/>
      </c>
      <c r="K25" s="19">
        <f>IF(E25&gt;0, F25/E25, IF(F25&gt;0, 1, 0))</f>
        <v/>
      </c>
      <c r="L25" s="32" t="inlineStr">
        <is>
          <t>Extra Estimación</t>
        </is>
      </c>
    </row>
    <row r="26">
      <c r="B26" s="27" t="inlineStr">
        <is>
          <t>COMERCIAL NORTE AGROCAMPO, S.L.</t>
        </is>
      </c>
      <c r="C26" s="28" t="inlineStr">
        <is>
          <t>AN0005</t>
        </is>
      </c>
      <c r="D26" s="27" t="inlineStr">
        <is>
          <t>ALCAPLANT NEW, 5 KG</t>
        </is>
      </c>
      <c r="E26" s="14" t="n">
        <v>0</v>
      </c>
      <c r="F26" s="14" t="n">
        <v>20</v>
      </c>
      <c r="G26" s="14" t="n">
        <v>20</v>
      </c>
      <c r="H26" s="14" t="n">
        <v>0</v>
      </c>
      <c r="I26" s="14">
        <f>MAX(0, E26-F26)</f>
        <v/>
      </c>
      <c r="J26" s="14">
        <f>ABS(F26-E26)</f>
        <v/>
      </c>
      <c r="K26" s="15">
        <f>IF(E26&gt;0, F26/E26, IF(F26&gt;0, 1, 0))</f>
        <v/>
      </c>
      <c r="L26" s="29" t="inlineStr">
        <is>
          <t>Extra Estimación</t>
        </is>
      </c>
    </row>
    <row r="27">
      <c r="B27" s="30" t="inlineStr">
        <is>
          <t>COMERCIAL NORTE AGROCAMPO, S.L.</t>
        </is>
      </c>
      <c r="C27" s="31" t="inlineStr">
        <is>
          <t>BR-590005</t>
        </is>
      </c>
      <c r="D27" s="30" t="inlineStr">
        <is>
          <t>BR-59, 5 KG</t>
        </is>
      </c>
      <c r="E27" s="18" t="n">
        <v>0</v>
      </c>
      <c r="F27" s="18" t="n">
        <v>60</v>
      </c>
      <c r="G27" s="18" t="n">
        <v>60</v>
      </c>
      <c r="H27" s="18" t="n">
        <v>0</v>
      </c>
      <c r="I27" s="18">
        <f>MAX(0, E27-F27)</f>
        <v/>
      </c>
      <c r="J27" s="18">
        <f>ABS(F27-E27)</f>
        <v/>
      </c>
      <c r="K27" s="19">
        <f>IF(E27&gt;0, F27/E27, IF(F27&gt;0, 1, 0))</f>
        <v/>
      </c>
      <c r="L27" s="32" t="inlineStr">
        <is>
          <t>Extra Estimación</t>
        </is>
      </c>
    </row>
    <row r="28">
      <c r="B28" s="27" t="inlineStr">
        <is>
          <t>COMERCIAL NORTE AGROCAMPO, S.L.</t>
        </is>
      </c>
      <c r="C28" s="28" t="inlineStr">
        <is>
          <t>BROTA0020</t>
        </is>
      </c>
      <c r="D28" s="27" t="inlineStr">
        <is>
          <t>BROTAMEC, 20 L</t>
        </is>
      </c>
      <c r="E28" s="14" t="n">
        <v>0</v>
      </c>
      <c r="F28" s="14" t="n">
        <v>20</v>
      </c>
      <c r="G28" s="14" t="n">
        <v>20</v>
      </c>
      <c r="H28" s="14" t="n">
        <v>0</v>
      </c>
      <c r="I28" s="14">
        <f>MAX(0, E28-F28)</f>
        <v/>
      </c>
      <c r="J28" s="14">
        <f>ABS(F28-E28)</f>
        <v/>
      </c>
      <c r="K28" s="15">
        <f>IF(E28&gt;0, F28/E28, IF(F28&gt;0, 1, 0))</f>
        <v/>
      </c>
      <c r="L28" s="29" t="inlineStr">
        <is>
          <t>Extra Estimación</t>
        </is>
      </c>
    </row>
    <row r="29">
      <c r="B29" s="30" t="inlineStr">
        <is>
          <t>COMERCIAL NORTE AGROCAMPO, S.L.</t>
        </is>
      </c>
      <c r="C29" s="31" t="inlineStr">
        <is>
          <t>C-CU0005</t>
        </is>
      </c>
      <c r="D29" s="30" t="inlineStr">
        <is>
          <t>CODICOBRE, 5 L</t>
        </is>
      </c>
      <c r="E29" s="18" t="n">
        <v>0</v>
      </c>
      <c r="F29" s="18" t="n">
        <v>20</v>
      </c>
      <c r="G29" s="18" t="n">
        <v>20</v>
      </c>
      <c r="H29" s="18" t="n">
        <v>0</v>
      </c>
      <c r="I29" s="18">
        <f>MAX(0, E29-F29)</f>
        <v/>
      </c>
      <c r="J29" s="18">
        <f>ABS(F29-E29)</f>
        <v/>
      </c>
      <c r="K29" s="19">
        <f>IF(E29&gt;0, F29/E29, IF(F29&gt;0, 1, 0))</f>
        <v/>
      </c>
      <c r="L29" s="32" t="inlineStr">
        <is>
          <t>Extra Estimación</t>
        </is>
      </c>
    </row>
    <row r="30">
      <c r="B30" s="27" t="inlineStr">
        <is>
          <t>COMERCIAL NORTE AGROCAMPO, S.L.</t>
        </is>
      </c>
      <c r="C30" s="28" t="inlineStr">
        <is>
          <t>PT0020</t>
        </is>
      </c>
      <c r="D30" s="27" t="inlineStr">
        <is>
          <t>AGROPOTASION, 20 L</t>
        </is>
      </c>
      <c r="E30" s="14" t="n">
        <v>0</v>
      </c>
      <c r="F30" s="14" t="n">
        <v>20</v>
      </c>
      <c r="G30" s="14" t="n">
        <v>20</v>
      </c>
      <c r="H30" s="14" t="n">
        <v>0</v>
      </c>
      <c r="I30" s="14">
        <f>MAX(0, E30-F30)</f>
        <v/>
      </c>
      <c r="J30" s="14">
        <f>ABS(F30-E30)</f>
        <v/>
      </c>
      <c r="K30" s="15">
        <f>IF(E30&gt;0, F30/E30, IF(F30&gt;0, 1, 0))</f>
        <v/>
      </c>
      <c r="L30" s="29" t="inlineStr">
        <is>
          <t>Extra Estimación</t>
        </is>
      </c>
    </row>
    <row r="31">
      <c r="B31" s="30" t="inlineStr">
        <is>
          <t>COMERCIAL NORTE AGROCAMPO, S.L.</t>
        </is>
      </c>
      <c r="C31" s="31" t="inlineStr">
        <is>
          <t>S0020</t>
        </is>
      </c>
      <c r="D31" s="30" t="inlineStr">
        <is>
          <t>SALWAX STAR, 20 L</t>
        </is>
      </c>
      <c r="E31" s="18" t="n">
        <v>0</v>
      </c>
      <c r="F31" s="18" t="n">
        <v>40</v>
      </c>
      <c r="G31" s="18" t="n">
        <v>40</v>
      </c>
      <c r="H31" s="18" t="n">
        <v>0</v>
      </c>
      <c r="I31" s="18">
        <f>MAX(0, E31-F31)</f>
        <v/>
      </c>
      <c r="J31" s="18">
        <f>ABS(F31-E31)</f>
        <v/>
      </c>
      <c r="K31" s="19">
        <f>IF(E31&gt;0, F31/E31, IF(F31&gt;0, 1, 0))</f>
        <v/>
      </c>
      <c r="L31" s="32" t="inlineStr">
        <is>
          <t>Extra Estimación</t>
        </is>
      </c>
    </row>
    <row r="32">
      <c r="B32" s="27" t="inlineStr">
        <is>
          <t>MAJ AGROQUIMICOS S.L.</t>
        </is>
      </c>
      <c r="C32" s="28" t="inlineStr">
        <is>
          <t>CPLUS0005</t>
        </is>
      </c>
      <c r="D32" s="27" t="inlineStr">
        <is>
          <t>CALCIPLUS, 5 L</t>
        </is>
      </c>
      <c r="E32" s="14" t="n">
        <v>0</v>
      </c>
      <c r="F32" s="14" t="n">
        <v>20</v>
      </c>
      <c r="G32" s="14" t="n">
        <v>20</v>
      </c>
      <c r="H32" s="14" t="n">
        <v>0</v>
      </c>
      <c r="I32" s="14">
        <f>MAX(0, E32-F32)</f>
        <v/>
      </c>
      <c r="J32" s="14">
        <f>ABS(F32-E32)</f>
        <v/>
      </c>
      <c r="K32" s="15">
        <f>IF(E32&gt;0, F32/E32, IF(F32&gt;0, 1, 0))</f>
        <v/>
      </c>
      <c r="L32" s="29" t="inlineStr">
        <is>
          <t>Extra Estimación</t>
        </is>
      </c>
    </row>
    <row r="33">
      <c r="B33" s="30" t="inlineStr">
        <is>
          <t>MAJ AGROQUIMICOS S.L.</t>
        </is>
      </c>
      <c r="C33" s="31" t="inlineStr">
        <is>
          <t>FTK0005</t>
        </is>
      </c>
      <c r="D33" s="30" t="inlineStr">
        <is>
          <t>FITOKONTROL CA FLOW, 5 KG</t>
        </is>
      </c>
      <c r="E33" s="18" t="n">
        <v>0</v>
      </c>
      <c r="F33" s="18" t="n">
        <v>40</v>
      </c>
      <c r="G33" s="18" t="n">
        <v>40</v>
      </c>
      <c r="H33" s="18" t="n">
        <v>0</v>
      </c>
      <c r="I33" s="18">
        <f>MAX(0, E33-F33)</f>
        <v/>
      </c>
      <c r="J33" s="18">
        <f>ABS(F33-E33)</f>
        <v/>
      </c>
      <c r="K33" s="19">
        <f>IF(E33&gt;0, F33/E33, IF(F33&gt;0, 1, 0))</f>
        <v/>
      </c>
      <c r="L33" s="32" t="inlineStr">
        <is>
          <t>Extra Estimación</t>
        </is>
      </c>
    </row>
    <row r="34">
      <c r="B34" s="27" t="inlineStr">
        <is>
          <t>MUNDOHUERTO-CARMEN SOLAZ BLANCO</t>
        </is>
      </c>
      <c r="C34" s="28" t="inlineStr">
        <is>
          <t>PT0001</t>
        </is>
      </c>
      <c r="D34" s="27" t="inlineStr">
        <is>
          <t>AGROPOTASION, 1 L</t>
        </is>
      </c>
      <c r="E34" s="14" t="n">
        <v>0</v>
      </c>
      <c r="F34" s="14" t="n">
        <v>24</v>
      </c>
      <c r="G34" s="14" t="n">
        <v>24</v>
      </c>
      <c r="H34" s="14" t="n">
        <v>0</v>
      </c>
      <c r="I34" s="14">
        <f>MAX(0, E34-F34)</f>
        <v/>
      </c>
      <c r="J34" s="14">
        <f>ABS(F34-E34)</f>
        <v/>
      </c>
      <c r="K34" s="15">
        <f>IF(E34&gt;0, F34/E34, IF(F34&gt;0, 1, 0))</f>
        <v/>
      </c>
      <c r="L34" s="29" t="inlineStr">
        <is>
          <t>Extra Estimación</t>
        </is>
      </c>
    </row>
    <row r="35">
      <c r="B35" s="30" t="inlineStr">
        <is>
          <t>MUNDOHUERTO-CARMEN SOLAZ BLANCO</t>
        </is>
      </c>
      <c r="C35" s="31" t="inlineStr">
        <is>
          <t>PT0005</t>
        </is>
      </c>
      <c r="D35" s="30" t="inlineStr">
        <is>
          <t>AGROPOTASION, 5 L</t>
        </is>
      </c>
      <c r="E35" s="18" t="n">
        <v>0</v>
      </c>
      <c r="F35" s="18" t="n">
        <v>80</v>
      </c>
      <c r="G35" s="18" t="n">
        <v>80</v>
      </c>
      <c r="H35" s="18" t="n">
        <v>0</v>
      </c>
      <c r="I35" s="18">
        <f>MAX(0, E35-F35)</f>
        <v/>
      </c>
      <c r="J35" s="18">
        <f>ABS(F35-E35)</f>
        <v/>
      </c>
      <c r="K35" s="19">
        <f>IF(E35&gt;0, F35/E35, IF(F35&gt;0, 1, 0))</f>
        <v/>
      </c>
      <c r="L35" s="32" t="inlineStr">
        <is>
          <t>Extra Estimación</t>
        </is>
      </c>
    </row>
    <row r="36">
      <c r="B36" s="27" t="inlineStr">
        <is>
          <t>MUNDOHUERTO-CARMEN SOLAZ BLANCO</t>
        </is>
      </c>
      <c r="C36" s="28" t="inlineStr">
        <is>
          <t>PT0020</t>
        </is>
      </c>
      <c r="D36" s="27" t="inlineStr">
        <is>
          <t>AGROPOTASION, 20 L</t>
        </is>
      </c>
      <c r="E36" s="14" t="n">
        <v>0</v>
      </c>
      <c r="F36" s="14" t="n">
        <v>60</v>
      </c>
      <c r="G36" s="14" t="n">
        <v>60</v>
      </c>
      <c r="H36" s="14" t="n">
        <v>0</v>
      </c>
      <c r="I36" s="14">
        <f>MAX(0, E36-F36)</f>
        <v/>
      </c>
      <c r="J36" s="14">
        <f>ABS(F36-E36)</f>
        <v/>
      </c>
      <c r="K36" s="15">
        <f>IF(E36&gt;0, F36/E36, IF(F36&gt;0, 1, 0))</f>
        <v/>
      </c>
      <c r="L36" s="29" t="inlineStr">
        <is>
          <t>Extra Estimación</t>
        </is>
      </c>
    </row>
    <row r="37">
      <c r="B37" s="30" t="inlineStr">
        <is>
          <t>SAFIAGRO, S.A.</t>
        </is>
      </c>
      <c r="C37" s="31" t="inlineStr">
        <is>
          <t>AGXK0020</t>
        </is>
      </c>
      <c r="D37" s="30" t="inlineStr">
        <is>
          <t>AGROXILATO-K, 20 L</t>
        </is>
      </c>
      <c r="E37" s="18" t="n">
        <v>0</v>
      </c>
      <c r="F37" s="18" t="n">
        <v>640</v>
      </c>
      <c r="G37" s="18" t="n">
        <v>640</v>
      </c>
      <c r="H37" s="18" t="n">
        <v>0</v>
      </c>
      <c r="I37" s="18">
        <f>MAX(0, E37-F37)</f>
        <v/>
      </c>
      <c r="J37" s="18">
        <f>ABS(F37-E37)</f>
        <v/>
      </c>
      <c r="K37" s="19">
        <f>IF(E37&gt;0, F37/E37, IF(F37&gt;0, 1, 0))</f>
        <v/>
      </c>
      <c r="L37" s="32" t="inlineStr">
        <is>
          <t>Extra Estimación</t>
        </is>
      </c>
    </row>
    <row r="38">
      <c r="B38" s="27" t="inlineStr">
        <is>
          <t>T.J AGRICULTURA S.L.</t>
        </is>
      </c>
      <c r="C38" s="28" t="inlineStr">
        <is>
          <t>AN0020</t>
        </is>
      </c>
      <c r="D38" s="27" t="inlineStr">
        <is>
          <t>ALCAPLANT NEW, 20 KG</t>
        </is>
      </c>
      <c r="E38" s="14" t="n">
        <v>0</v>
      </c>
      <c r="F38" s="14" t="n">
        <v>600</v>
      </c>
      <c r="G38" s="14" t="n">
        <v>600</v>
      </c>
      <c r="H38" s="14" t="n">
        <v>0</v>
      </c>
      <c r="I38" s="14">
        <f>MAX(0, E38-F38)</f>
        <v/>
      </c>
      <c r="J38" s="14">
        <f>ABS(F38-E38)</f>
        <v/>
      </c>
      <c r="K38" s="15">
        <f>IF(E38&gt;0, F38/E38, IF(F38&gt;0, 1, 0))</f>
        <v/>
      </c>
      <c r="L38" s="29" t="inlineStr">
        <is>
          <t>Extra Estimación</t>
        </is>
      </c>
    </row>
    <row r="39">
      <c r="B39" s="30" t="inlineStr">
        <is>
          <t>T.J AGRICULTURA S.L.</t>
        </is>
      </c>
      <c r="C39" s="31" t="inlineStr">
        <is>
          <t>SS0020</t>
        </is>
      </c>
      <c r="D39" s="30" t="inlineStr">
        <is>
          <t>SALWAX-CA, 20 KG</t>
        </is>
      </c>
      <c r="E39" s="18" t="n">
        <v>0</v>
      </c>
      <c r="F39" s="18" t="n">
        <v>500</v>
      </c>
      <c r="G39" s="18" t="n">
        <v>500</v>
      </c>
      <c r="H39" s="18" t="n">
        <v>0</v>
      </c>
      <c r="I39" s="18">
        <f>MAX(0, E39-F39)</f>
        <v/>
      </c>
      <c r="J39" s="18">
        <f>ABS(F39-E39)</f>
        <v/>
      </c>
      <c r="K39" s="19">
        <f>IF(E39&gt;0, F39/E39, IF(F39&gt;0, 1, 0))</f>
        <v/>
      </c>
      <c r="L39" s="32" t="inlineStr">
        <is>
          <t>Extra Estimación</t>
        </is>
      </c>
    </row>
    <row r="40">
      <c r="B40" s="27" t="inlineStr">
        <is>
          <t>VILLALTA SATIVUM, S.L.</t>
        </is>
      </c>
      <c r="C40" s="28" t="inlineStr">
        <is>
          <t>WHITE0020</t>
        </is>
      </c>
      <c r="D40" s="27" t="inlineStr">
        <is>
          <t>AGROWHITE, 20 KG</t>
        </is>
      </c>
      <c r="E40" s="14" t="n">
        <v>0</v>
      </c>
      <c r="F40" s="14" t="n">
        <v>3460</v>
      </c>
      <c r="G40" s="14" t="n">
        <v>3460</v>
      </c>
      <c r="H40" s="14" t="n">
        <v>0</v>
      </c>
      <c r="I40" s="14">
        <f>MAX(0, E40-F40)</f>
        <v/>
      </c>
      <c r="J40" s="14">
        <f>ABS(F40-E40)</f>
        <v/>
      </c>
      <c r="K40" s="15">
        <f>IF(E40&gt;0, F40/E40, IF(F40&gt;0, 1, 0))</f>
        <v/>
      </c>
      <c r="L40" s="29" t="inlineStr">
        <is>
          <t>Extra Estimación</t>
        </is>
      </c>
    </row>
    <row r="41" ht="24" customHeight="1">
      <c r="B41" s="20" t="inlineStr">
        <is>
          <t>TOTAL ALFONSO</t>
        </is>
      </c>
      <c r="C41" s="34" t="inlineStr">
        <is>
          <t>282 líneas</t>
        </is>
      </c>
      <c r="D41" s="35" t="inlineStr"/>
      <c r="E41" s="22">
        <f>SUM(E10:E40)</f>
        <v/>
      </c>
      <c r="F41" s="22">
        <f>SUM(F10:F40)</f>
        <v/>
      </c>
      <c r="G41" s="22">
        <f>SUM(G10:G40)</f>
        <v/>
      </c>
      <c r="H41" s="22">
        <f>SUM(H10:H40)</f>
        <v/>
      </c>
      <c r="I41" s="22">
        <f>SUM(I10:I40)</f>
        <v/>
      </c>
      <c r="J41" s="22">
        <f>SUM(J10:J40)</f>
        <v/>
      </c>
      <c r="K41" s="23">
        <f>IF(E41&gt;0, F41/E41, 0)</f>
        <v/>
      </c>
      <c r="L41" s="21">
        <f>IF(K41&gt;=1, "SUPERADO", "EN CURSO")</f>
        <v/>
      </c>
    </row>
  </sheetData>
  <mergeCells count="12">
    <mergeCell ref="D6:E6"/>
    <mergeCell ref="B6:C6"/>
    <mergeCell ref="H6:I6"/>
    <mergeCell ref="J5:K5"/>
    <mergeCell ref="J6:K6"/>
    <mergeCell ref="B5:C5"/>
    <mergeCell ref="F5:G5"/>
    <mergeCell ref="D5:E5"/>
    <mergeCell ref="B3:L3"/>
    <mergeCell ref="B2:L2"/>
    <mergeCell ref="F6:G6"/>
    <mergeCell ref="H5:I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5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28" customWidth="1" min="4" max="4"/>
    <col width="14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  <col width="14" customWidth="1" min="11" max="11"/>
    <col width="16" customWidth="1" min="12" max="12"/>
  </cols>
  <sheetData>
    <row r="2" ht="36" customHeight="1">
      <c r="B2" s="1" t="inlineStr">
        <is>
          <t>CODIAGRO - SEGUIMIENTO COMERCIAL: GARCÍA (UNIDADES)</t>
        </is>
      </c>
    </row>
    <row r="3" ht="18" customHeight="1">
      <c r="B3" s="2" t="inlineStr">
        <is>
          <t>Seguimiento diario de Previsión Septiembre 2026 vs Pedidos a Fecha 30/09/2026</t>
        </is>
      </c>
    </row>
    <row r="5" ht="16" customHeight="1">
      <c r="B5" s="3" t="inlineStr">
        <is>
          <t>ESTIMACIÓN SEP (U)</t>
        </is>
      </c>
      <c r="C5" s="4" t="n"/>
      <c r="D5" s="5" t="inlineStr">
        <is>
          <t>PEDIDOS REALES (U)</t>
        </is>
      </c>
      <c r="E5" s="4" t="n"/>
      <c r="F5" s="5" t="inlineStr">
        <is>
          <t>% CONSECUCIÓN</t>
        </is>
      </c>
      <c r="G5" s="4" t="n"/>
      <c r="H5" s="5" t="inlineStr">
        <is>
          <t>FALTA CONSEGUIR (GAP)</t>
        </is>
      </c>
      <c r="I5" s="4" t="n"/>
      <c r="J5" s="3" t="inlineStr">
        <is>
          <t>PENDIENTES SERVIR (U)</t>
        </is>
      </c>
      <c r="K5" s="4" t="n"/>
    </row>
    <row r="6" ht="25" customHeight="1">
      <c r="B6" s="24" t="inlineStr">
        <is>
          <t>35,865 u</t>
        </is>
      </c>
      <c r="C6" s="4" t="n"/>
      <c r="D6" s="25" t="inlineStr">
        <is>
          <t>57,312 u</t>
        </is>
      </c>
      <c r="E6" s="4" t="n"/>
      <c r="F6" s="25" t="inlineStr">
        <is>
          <t>159.8%</t>
        </is>
      </c>
      <c r="G6" s="4" t="n"/>
      <c r="H6" s="25" t="inlineStr">
        <is>
          <t>0 u</t>
        </is>
      </c>
      <c r="I6" s="4" t="n"/>
      <c r="J6" s="24" t="inlineStr">
        <is>
          <t>0 u</t>
        </is>
      </c>
      <c r="K6" s="4" t="n"/>
    </row>
    <row r="8">
      <c r="B8" s="26" t="inlineStr">
        <is>
          <t>DETALLE COMPARATIVO POR CLIENTE Y ARTÍCULO - GARCÍA (UNIDADES)</t>
        </is>
      </c>
    </row>
    <row r="9" ht="25" customHeight="1">
      <c r="B9" s="11" t="inlineStr">
        <is>
          <t>Cliente</t>
        </is>
      </c>
      <c r="C9" s="11" t="inlineStr">
        <is>
          <t>Cód. Artículo</t>
        </is>
      </c>
      <c r="D9" s="11" t="inlineStr">
        <is>
          <t>Descripción Artículo</t>
        </is>
      </c>
      <c r="E9" s="11" t="inlineStr">
        <is>
          <t>Estimación Sep (u)</t>
        </is>
      </c>
      <c r="F9" s="11" t="inlineStr">
        <is>
          <t>Pedidos Sep (u)</t>
        </is>
      </c>
      <c r="G9" s="11" t="inlineStr">
        <is>
          <t>Servidas (u)</t>
        </is>
      </c>
      <c r="H9" s="11" t="inlineStr">
        <is>
          <t>Pendientes (u)</t>
        </is>
      </c>
      <c r="I9" s="11" t="inlineStr">
        <is>
          <t>Falta (u)</t>
        </is>
      </c>
      <c r="J9" s="11" t="inlineStr">
        <is>
          <t>Desv. (u)</t>
        </is>
      </c>
      <c r="K9" s="11" t="inlineStr">
        <is>
          <t>% Consec.</t>
        </is>
      </c>
      <c r="L9" s="11" t="inlineStr">
        <is>
          <t>Estado</t>
        </is>
      </c>
    </row>
    <row r="10">
      <c r="B10" s="27" t="inlineStr">
        <is>
          <t>AGROGIMEDEL, S.L.U.</t>
        </is>
      </c>
      <c r="C10" s="28" t="inlineStr">
        <is>
          <t>AGZNP0005</t>
        </is>
      </c>
      <c r="D10" s="27" t="inlineStr">
        <is>
          <t>AGROXILATO ZN PLUS, 5 KG</t>
        </is>
      </c>
      <c r="E10" s="14" t="n">
        <v>663.5973</v>
      </c>
      <c r="F10" s="14" t="n">
        <v>0</v>
      </c>
      <c r="G10" s="14" t="n">
        <v>0</v>
      </c>
      <c r="H10" s="14" t="n">
        <v>0</v>
      </c>
      <c r="I10" s="14">
        <f>MAX(0, E10-F10)</f>
        <v/>
      </c>
      <c r="J10" s="14">
        <f>ABS(F10-E10)</f>
        <v/>
      </c>
      <c r="K10" s="15">
        <f>IF(E10&gt;0, F10/E10, IF(F10&gt;0, 1, 0))</f>
        <v/>
      </c>
      <c r="L10" s="36" t="inlineStr">
        <is>
          <t>Sin Pedido</t>
        </is>
      </c>
    </row>
    <row r="11">
      <c r="B11" s="30" t="inlineStr">
        <is>
          <t>AGRONEW FITO, S.L.</t>
        </is>
      </c>
      <c r="C11" s="31" t="inlineStr">
        <is>
          <t>AGXK1000</t>
        </is>
      </c>
      <c r="D11" s="30" t="inlineStr">
        <is>
          <t>AGROXILATO-K, 1000 L</t>
        </is>
      </c>
      <c r="E11" s="18" t="n">
        <v>1895.9923</v>
      </c>
      <c r="F11" s="18" t="n">
        <v>0</v>
      </c>
      <c r="G11" s="18" t="n">
        <v>0</v>
      </c>
      <c r="H11" s="18" t="n">
        <v>0</v>
      </c>
      <c r="I11" s="18">
        <f>MAX(0, E11-F11)</f>
        <v/>
      </c>
      <c r="J11" s="18">
        <f>ABS(F11-E11)</f>
        <v/>
      </c>
      <c r="K11" s="19">
        <f>IF(E11&gt;0, F11/E11, IF(F11&gt;0, 1, 0))</f>
        <v/>
      </c>
      <c r="L11" s="37" t="inlineStr">
        <is>
          <t>Sin Pedido</t>
        </is>
      </c>
    </row>
    <row r="12">
      <c r="B12" s="27" t="inlineStr">
        <is>
          <t>AGRONEW FITO, S.L.</t>
        </is>
      </c>
      <c r="C12" s="28" t="inlineStr">
        <is>
          <t>AGZ-M0005</t>
        </is>
      </c>
      <c r="D12" s="27" t="inlineStr">
        <is>
          <t>AGROXILATO-ZN-MN, 5 KG</t>
        </is>
      </c>
      <c r="E12" s="14" t="n">
        <v>284.3988</v>
      </c>
      <c r="F12" s="14" t="n">
        <v>0</v>
      </c>
      <c r="G12" s="14" t="n">
        <v>0</v>
      </c>
      <c r="H12" s="14" t="n">
        <v>0</v>
      </c>
      <c r="I12" s="14">
        <f>MAX(0, E12-F12)</f>
        <v/>
      </c>
      <c r="J12" s="14">
        <f>ABS(F12-E12)</f>
        <v/>
      </c>
      <c r="K12" s="15">
        <f>IF(E12&gt;0, F12/E12, IF(F12&gt;0, 1, 0))</f>
        <v/>
      </c>
      <c r="L12" s="36" t="inlineStr">
        <is>
          <t>Sin Pedido</t>
        </is>
      </c>
    </row>
    <row r="13">
      <c r="B13" s="30" t="inlineStr">
        <is>
          <t>AGRONEW FITO, S.L.</t>
        </is>
      </c>
      <c r="C13" s="31" t="inlineStr">
        <is>
          <t>AGZNP0005</t>
        </is>
      </c>
      <c r="D13" s="30" t="inlineStr">
        <is>
          <t>AGROXILATO-ZN PLUS, 5 KG</t>
        </is>
      </c>
      <c r="E13" s="18" t="n">
        <v>0</v>
      </c>
      <c r="F13" s="18" t="n">
        <v>100</v>
      </c>
      <c r="G13" s="18" t="n">
        <v>100</v>
      </c>
      <c r="H13" s="18" t="n">
        <v>0</v>
      </c>
      <c r="I13" s="18">
        <f>MAX(0, E13-F13)</f>
        <v/>
      </c>
      <c r="J13" s="18">
        <f>ABS(F13-E13)</f>
        <v/>
      </c>
      <c r="K13" s="19">
        <f>IF(E13&gt;0, F13/E13, IF(F13&gt;0, 1, 0))</f>
        <v/>
      </c>
      <c r="L13" s="32" t="inlineStr">
        <is>
          <t>Extra Estimación</t>
        </is>
      </c>
    </row>
    <row r="14">
      <c r="B14" s="27" t="inlineStr">
        <is>
          <t>AGRONEW FITO, S.L.</t>
        </is>
      </c>
      <c r="C14" s="28" t="inlineStr">
        <is>
          <t>ANAE0020</t>
        </is>
      </c>
      <c r="D14" s="27" t="inlineStr">
        <is>
          <t>ALCAPLANT NEW AE, 20 KG</t>
        </is>
      </c>
      <c r="E14" s="14" t="n">
        <v>2085.5915</v>
      </c>
      <c r="F14" s="14" t="n">
        <v>1100</v>
      </c>
      <c r="G14" s="14" t="n">
        <v>1100</v>
      </c>
      <c r="H14" s="14" t="n">
        <v>0</v>
      </c>
      <c r="I14" s="14">
        <f>MAX(0, E14-F14)</f>
        <v/>
      </c>
      <c r="J14" s="14">
        <f>ABS(F14-E14)</f>
        <v/>
      </c>
      <c r="K14" s="15">
        <f>IF(E14&gt;0, F14/E14, IF(F14&gt;0, 1, 0))</f>
        <v/>
      </c>
      <c r="L14" s="33" t="inlineStr">
        <is>
          <t>En Curso</t>
        </is>
      </c>
    </row>
    <row r="15">
      <c r="B15" s="30" t="inlineStr">
        <is>
          <t>AGRONEW FITO, S.L.</t>
        </is>
      </c>
      <c r="C15" s="31" t="inlineStr">
        <is>
          <t>PT0020</t>
        </is>
      </c>
      <c r="D15" s="30" t="inlineStr">
        <is>
          <t>AGROPOTASION, 20 L</t>
        </is>
      </c>
      <c r="E15" s="18" t="n">
        <v>1820.1526</v>
      </c>
      <c r="F15" s="18" t="n">
        <v>1280</v>
      </c>
      <c r="G15" s="18" t="n">
        <v>1280</v>
      </c>
      <c r="H15" s="18" t="n">
        <v>0</v>
      </c>
      <c r="I15" s="18">
        <f>MAX(0, E15-F15)</f>
        <v/>
      </c>
      <c r="J15" s="18">
        <f>ABS(F15-E15)</f>
        <v/>
      </c>
      <c r="K15" s="19">
        <f>IF(E15&gt;0, F15/E15, IF(F15&gt;0, 1, 0))</f>
        <v/>
      </c>
      <c r="L15" s="38" t="inlineStr">
        <is>
          <t>En Curso</t>
        </is>
      </c>
    </row>
    <row r="16">
      <c r="B16" s="27" t="inlineStr">
        <is>
          <t>AGRONEW FITO, S.L.</t>
        </is>
      </c>
      <c r="C16" s="28" t="inlineStr">
        <is>
          <t>S1000</t>
        </is>
      </c>
      <c r="D16" s="27" t="inlineStr">
        <is>
          <t>SAL-WAX STAR, 1000 L</t>
        </is>
      </c>
      <c r="E16" s="14" t="n">
        <v>4739.9807</v>
      </c>
      <c r="F16" s="14" t="n">
        <v>1000</v>
      </c>
      <c r="G16" s="14" t="n">
        <v>1000</v>
      </c>
      <c r="H16" s="14" t="n">
        <v>0</v>
      </c>
      <c r="I16" s="14">
        <f>MAX(0, E16-F16)</f>
        <v/>
      </c>
      <c r="J16" s="14">
        <f>ABS(F16-E16)</f>
        <v/>
      </c>
      <c r="K16" s="15">
        <f>IF(E16&gt;0, F16/E16, IF(F16&gt;0, 1, 0))</f>
        <v/>
      </c>
      <c r="L16" s="39" t="inlineStr">
        <is>
          <t>Rezagado</t>
        </is>
      </c>
    </row>
    <row r="17">
      <c r="B17" s="30" t="inlineStr">
        <is>
          <t>AGROREBOLLO, S.L.</t>
        </is>
      </c>
      <c r="C17" s="31" t="inlineStr">
        <is>
          <t>AGZNP0005</t>
        </is>
      </c>
      <c r="D17" s="30" t="inlineStr">
        <is>
          <t>AGROXILATO ZN PLUS, 5 KG</t>
        </is>
      </c>
      <c r="E17" s="18" t="n">
        <v>473.9981</v>
      </c>
      <c r="F17" s="18" t="n">
        <v>0</v>
      </c>
      <c r="G17" s="18" t="n">
        <v>0</v>
      </c>
      <c r="H17" s="18" t="n">
        <v>0</v>
      </c>
      <c r="I17" s="18">
        <f>MAX(0, E17-F17)</f>
        <v/>
      </c>
      <c r="J17" s="18">
        <f>ABS(F17-E17)</f>
        <v/>
      </c>
      <c r="K17" s="19">
        <f>IF(E17&gt;0, F17/E17, IF(F17&gt;0, 1, 0))</f>
        <v/>
      </c>
      <c r="L17" s="37" t="inlineStr">
        <is>
          <t>Sin Pedido</t>
        </is>
      </c>
    </row>
    <row r="18">
      <c r="B18" s="27" t="inlineStr">
        <is>
          <t>AGROSER BERNARDINO, S.L.</t>
        </is>
      </c>
      <c r="C18" s="28" t="inlineStr">
        <is>
          <t>AN0020</t>
        </is>
      </c>
      <c r="D18" s="27" t="inlineStr">
        <is>
          <t>ALCAPLANT NEW, 20 KG</t>
        </is>
      </c>
      <c r="E18" s="14" t="n">
        <v>1042.7958</v>
      </c>
      <c r="F18" s="14" t="n">
        <v>1100</v>
      </c>
      <c r="G18" s="14" t="n">
        <v>1100</v>
      </c>
      <c r="H18" s="14" t="n">
        <v>0</v>
      </c>
      <c r="I18" s="14">
        <f>MAX(0, E18-F18)</f>
        <v/>
      </c>
      <c r="J18" s="14">
        <f>ABS(F18-E18)</f>
        <v/>
      </c>
      <c r="K18" s="15">
        <f>IF(E18&gt;0, F18/E18, IF(F18&gt;0, 1, 0))</f>
        <v/>
      </c>
      <c r="L18" s="29" t="inlineStr">
        <is>
          <t>Superado</t>
        </is>
      </c>
    </row>
    <row r="19">
      <c r="B19" s="30" t="inlineStr">
        <is>
          <t>AGROTRAPICHE, S.L.U</t>
        </is>
      </c>
      <c r="C19" s="31" t="inlineStr">
        <is>
          <t>A-50(2)0020</t>
        </is>
      </c>
      <c r="D19" s="30" t="inlineStr">
        <is>
          <t>CODIORGAN-A50, 20 KG</t>
        </is>
      </c>
      <c r="E19" s="18" t="n">
        <v>189.5992</v>
      </c>
      <c r="F19" s="18" t="n">
        <v>0</v>
      </c>
      <c r="G19" s="18" t="n">
        <v>0</v>
      </c>
      <c r="H19" s="18" t="n">
        <v>0</v>
      </c>
      <c r="I19" s="18">
        <f>MAX(0, E19-F19)</f>
        <v/>
      </c>
      <c r="J19" s="18">
        <f>ABS(F19-E19)</f>
        <v/>
      </c>
      <c r="K19" s="19">
        <f>IF(E19&gt;0, F19/E19, IF(F19&gt;0, 1, 0))</f>
        <v/>
      </c>
      <c r="L19" s="37" t="inlineStr">
        <is>
          <t>Sin Pedido</t>
        </is>
      </c>
    </row>
    <row r="20">
      <c r="B20" s="27" t="inlineStr">
        <is>
          <t>AGROTRAPICHE, S.L.U</t>
        </is>
      </c>
      <c r="C20" s="28" t="inlineStr">
        <is>
          <t>AGZNP0005</t>
        </is>
      </c>
      <c r="D20" s="27" t="inlineStr">
        <is>
          <t>AGROXILATO-ZN PLUS, 5 KG</t>
        </is>
      </c>
      <c r="E20" s="14" t="n">
        <v>284.3988</v>
      </c>
      <c r="F20" s="14" t="n">
        <v>0</v>
      </c>
      <c r="G20" s="14" t="n">
        <v>0</v>
      </c>
      <c r="H20" s="14" t="n">
        <v>0</v>
      </c>
      <c r="I20" s="14">
        <f>MAX(0, E20-F20)</f>
        <v/>
      </c>
      <c r="J20" s="14">
        <f>ABS(F20-E20)</f>
        <v/>
      </c>
      <c r="K20" s="15">
        <f>IF(E20&gt;0, F20/E20, IF(F20&gt;0, 1, 0))</f>
        <v/>
      </c>
      <c r="L20" s="36" t="inlineStr">
        <is>
          <t>Sin Pedido</t>
        </is>
      </c>
    </row>
    <row r="21">
      <c r="B21" s="30" t="inlineStr">
        <is>
          <t>AGRUPACION DE LABRADORES DEL POZUELO, SA</t>
        </is>
      </c>
      <c r="C21" s="31" t="inlineStr">
        <is>
          <t>AGXK0020</t>
        </is>
      </c>
      <c r="D21" s="30" t="inlineStr">
        <is>
          <t>AGROXILATO-K, 20 L</t>
        </is>
      </c>
      <c r="E21" s="18" t="n">
        <v>94.7996</v>
      </c>
      <c r="F21" s="18" t="n">
        <v>100</v>
      </c>
      <c r="G21" s="18" t="n">
        <v>100</v>
      </c>
      <c r="H21" s="18" t="n">
        <v>0</v>
      </c>
      <c r="I21" s="18">
        <f>MAX(0, E21-F21)</f>
        <v/>
      </c>
      <c r="J21" s="18">
        <f>ABS(F21-E21)</f>
        <v/>
      </c>
      <c r="K21" s="19">
        <f>IF(E21&gt;0, F21/E21, IF(F21&gt;0, 1, 0))</f>
        <v/>
      </c>
      <c r="L21" s="32" t="inlineStr">
        <is>
          <t>Superado</t>
        </is>
      </c>
    </row>
    <row r="22">
      <c r="B22" s="27" t="inlineStr">
        <is>
          <t>AGRUPACION DE LABRADORES DEL POZUELO, SA</t>
        </is>
      </c>
      <c r="C22" s="28" t="inlineStr">
        <is>
          <t>AVAN0005</t>
        </is>
      </c>
      <c r="D22" s="27" t="inlineStr">
        <is>
          <t>FLORAMEC AVANCE, 5 L</t>
        </is>
      </c>
      <c r="E22" s="14" t="n">
        <v>284.3988</v>
      </c>
      <c r="F22" s="14" t="n">
        <v>300</v>
      </c>
      <c r="G22" s="14" t="n">
        <v>300</v>
      </c>
      <c r="H22" s="14" t="n">
        <v>0</v>
      </c>
      <c r="I22" s="14">
        <f>MAX(0, E22-F22)</f>
        <v/>
      </c>
      <c r="J22" s="14">
        <f>ABS(F22-E22)</f>
        <v/>
      </c>
      <c r="K22" s="15">
        <f>IF(E22&gt;0, F22/E22, IF(F22&gt;0, 1, 0))</f>
        <v/>
      </c>
      <c r="L22" s="29" t="inlineStr">
        <is>
          <t>Superado</t>
        </is>
      </c>
    </row>
    <row r="23">
      <c r="B23" s="30" t="inlineStr">
        <is>
          <t>AGRUPACION DE LABRADORES DEL POZUELO, SA</t>
        </is>
      </c>
      <c r="C23" s="31" t="inlineStr">
        <is>
          <t>AVAN0020</t>
        </is>
      </c>
      <c r="D23" s="30" t="inlineStr">
        <is>
          <t>FLORAMEC AVANCE, 20 L</t>
        </is>
      </c>
      <c r="E23" s="18" t="n">
        <v>189.5992</v>
      </c>
      <c r="F23" s="18" t="n">
        <v>200</v>
      </c>
      <c r="G23" s="18" t="n">
        <v>200</v>
      </c>
      <c r="H23" s="18" t="n">
        <v>0</v>
      </c>
      <c r="I23" s="18">
        <f>MAX(0, E23-F23)</f>
        <v/>
      </c>
      <c r="J23" s="18">
        <f>ABS(F23-E23)</f>
        <v/>
      </c>
      <c r="K23" s="19">
        <f>IF(E23&gt;0, F23/E23, IF(F23&gt;0, 1, 0))</f>
        <v/>
      </c>
      <c r="L23" s="32" t="inlineStr">
        <is>
          <t>Superado</t>
        </is>
      </c>
    </row>
    <row r="24">
      <c r="B24" s="27" t="inlineStr">
        <is>
          <t>AGRUPACION DE LABRADORES DEL POZUELO, SA</t>
        </is>
      </c>
      <c r="C24" s="28" t="inlineStr">
        <is>
          <t>C-CU0005</t>
        </is>
      </c>
      <c r="D24" s="27" t="inlineStr">
        <is>
          <t>CODICOBRE, 5 L</t>
        </is>
      </c>
      <c r="E24" s="14" t="n">
        <v>189.5992</v>
      </c>
      <c r="F24" s="14" t="n">
        <v>0</v>
      </c>
      <c r="G24" s="14" t="n">
        <v>0</v>
      </c>
      <c r="H24" s="14" t="n">
        <v>0</v>
      </c>
      <c r="I24" s="14">
        <f>MAX(0, E24-F24)</f>
        <v/>
      </c>
      <c r="J24" s="14">
        <f>ABS(F24-E24)</f>
        <v/>
      </c>
      <c r="K24" s="15">
        <f>IF(E24&gt;0, F24/E24, IF(F24&gt;0, 1, 0))</f>
        <v/>
      </c>
      <c r="L24" s="36" t="inlineStr">
        <is>
          <t>Sin Pedido</t>
        </is>
      </c>
    </row>
    <row r="25">
      <c r="B25" s="30" t="inlineStr">
        <is>
          <t>DOTRA CHEMICALS</t>
        </is>
      </c>
      <c r="C25" s="31" t="inlineStr">
        <is>
          <t>SSEG0005</t>
        </is>
      </c>
      <c r="D25" s="30" t="inlineStr">
        <is>
          <t>SAL-WAX Ca</t>
        </is>
      </c>
      <c r="E25" s="18" t="n">
        <v>18959.9228</v>
      </c>
      <c r="F25" s="18" t="n">
        <v>21000</v>
      </c>
      <c r="G25" s="18" t="n">
        <v>21000</v>
      </c>
      <c r="H25" s="18" t="n">
        <v>0</v>
      </c>
      <c r="I25" s="18">
        <f>MAX(0, E25-F25)</f>
        <v/>
      </c>
      <c r="J25" s="18">
        <f>ABS(F25-E25)</f>
        <v/>
      </c>
      <c r="K25" s="19">
        <f>IF(E25&gt;0, F25/E25, IF(F25&gt;0, 1, 0))</f>
        <v/>
      </c>
      <c r="L25" s="32" t="inlineStr">
        <is>
          <t>Superado</t>
        </is>
      </c>
    </row>
    <row r="26">
      <c r="B26" s="27" t="inlineStr">
        <is>
          <t>DOTRA GULF TRADING COMPANY</t>
        </is>
      </c>
      <c r="C26" s="28" t="inlineStr">
        <is>
          <t>AQUOMAR0005</t>
        </is>
      </c>
      <c r="D26" s="27" t="inlineStr">
        <is>
          <t>AQUOM ARABIA, 5 L</t>
        </is>
      </c>
      <c r="E26" s="14" t="n">
        <v>0</v>
      </c>
      <c r="F26" s="14" t="n">
        <v>400</v>
      </c>
      <c r="G26" s="14" t="n">
        <v>400</v>
      </c>
      <c r="H26" s="14" t="n">
        <v>0</v>
      </c>
      <c r="I26" s="14">
        <f>MAX(0, E26-F26)</f>
        <v/>
      </c>
      <c r="J26" s="14">
        <f>ABS(F26-E26)</f>
        <v/>
      </c>
      <c r="K26" s="15">
        <f>IF(E26&gt;0, F26/E26, IF(F26&gt;0, 1, 0))</f>
        <v/>
      </c>
      <c r="L26" s="29" t="inlineStr">
        <is>
          <t>Extra Estimación</t>
        </is>
      </c>
    </row>
    <row r="27">
      <c r="B27" s="30" t="inlineStr">
        <is>
          <t>DOTRA GULF TRADING COMPANY</t>
        </is>
      </c>
      <c r="C27" s="31" t="inlineStr">
        <is>
          <t>AVAN0001</t>
        </is>
      </c>
      <c r="D27" s="30" t="inlineStr">
        <is>
          <t>FLORAMEC AVANCE, 1 L</t>
        </is>
      </c>
      <c r="E27" s="18" t="n">
        <v>0</v>
      </c>
      <c r="F27" s="18" t="n">
        <v>504</v>
      </c>
      <c r="G27" s="18" t="n">
        <v>504</v>
      </c>
      <c r="H27" s="18" t="n">
        <v>0</v>
      </c>
      <c r="I27" s="18">
        <f>MAX(0, E27-F27)</f>
        <v/>
      </c>
      <c r="J27" s="18">
        <f>ABS(F27-E27)</f>
        <v/>
      </c>
      <c r="K27" s="19">
        <f>IF(E27&gt;0, F27/E27, IF(F27&gt;0, 1, 0))</f>
        <v/>
      </c>
      <c r="L27" s="32" t="inlineStr">
        <is>
          <t>Extra Estimación</t>
        </is>
      </c>
    </row>
    <row r="28">
      <c r="B28" s="27" t="inlineStr">
        <is>
          <t>DOTRA GULF TRADING COMPANY</t>
        </is>
      </c>
      <c r="C28" s="28" t="inlineStr">
        <is>
          <t>BIO0005</t>
        </is>
      </c>
      <c r="D28" s="27" t="inlineStr">
        <is>
          <t>BIORAD-20, 5L</t>
        </is>
      </c>
      <c r="E28" s="14" t="n">
        <v>0</v>
      </c>
      <c r="F28" s="14" t="n">
        <v>800</v>
      </c>
      <c r="G28" s="14" t="n">
        <v>800</v>
      </c>
      <c r="H28" s="14" t="n">
        <v>0</v>
      </c>
      <c r="I28" s="14">
        <f>MAX(0, E28-F28)</f>
        <v/>
      </c>
      <c r="J28" s="14">
        <f>ABS(F28-E28)</f>
        <v/>
      </c>
      <c r="K28" s="15">
        <f>IF(E28&gt;0, F28/E28, IF(F28&gt;0, 1, 0))</f>
        <v/>
      </c>
      <c r="L28" s="29" t="inlineStr">
        <is>
          <t>Extra Estimación</t>
        </is>
      </c>
    </row>
    <row r="29">
      <c r="B29" s="30" t="inlineStr">
        <is>
          <t>DOTRA GULF TRADING COMPANY</t>
        </is>
      </c>
      <c r="C29" s="31" t="inlineStr">
        <is>
          <t>SPAR0001</t>
        </is>
      </c>
      <c r="D29" s="30" t="inlineStr">
        <is>
          <t>SPRINTENE ARABIA, 1 L</t>
        </is>
      </c>
      <c r="E29" s="18" t="n">
        <v>0</v>
      </c>
      <c r="F29" s="18" t="n">
        <v>1080</v>
      </c>
      <c r="G29" s="18" t="n">
        <v>1080</v>
      </c>
      <c r="H29" s="18" t="n">
        <v>0</v>
      </c>
      <c r="I29" s="18">
        <f>MAX(0, E29-F29)</f>
        <v/>
      </c>
      <c r="J29" s="18">
        <f>ABS(F29-E29)</f>
        <v/>
      </c>
      <c r="K29" s="19">
        <f>IF(E29&gt;0, F29/E29, IF(F29&gt;0, 1, 0))</f>
        <v/>
      </c>
      <c r="L29" s="32" t="inlineStr">
        <is>
          <t>Extra Estimación</t>
        </is>
      </c>
    </row>
    <row r="30">
      <c r="B30" s="27" t="inlineStr">
        <is>
          <t>DOTRA GULF TRADING COMPANY</t>
        </is>
      </c>
      <c r="C30" s="28" t="inlineStr">
        <is>
          <t>SSEG0005</t>
        </is>
      </c>
      <c r="D30" s="27" t="inlineStr">
        <is>
          <t>SALWAX CALCIO EGIPTO, 5 KG</t>
        </is>
      </c>
      <c r="E30" s="14" t="n">
        <v>0</v>
      </c>
      <c r="F30" s="14" t="n">
        <v>17500</v>
      </c>
      <c r="G30" s="14" t="n">
        <v>17500</v>
      </c>
      <c r="H30" s="14" t="n">
        <v>0</v>
      </c>
      <c r="I30" s="14">
        <f>MAX(0, E30-F30)</f>
        <v/>
      </c>
      <c r="J30" s="14">
        <f>ABS(F30-E30)</f>
        <v/>
      </c>
      <c r="K30" s="15">
        <f>IF(E30&gt;0, F30/E30, IF(F30&gt;0, 1, 0))</f>
        <v/>
      </c>
      <c r="L30" s="29" t="inlineStr">
        <is>
          <t>Extra Estimación</t>
        </is>
      </c>
    </row>
    <row r="31">
      <c r="B31" s="30" t="inlineStr">
        <is>
          <t>EL PINAR BERRIES, S.L.</t>
        </is>
      </c>
      <c r="C31" s="31" t="inlineStr">
        <is>
          <t>AN0005</t>
        </is>
      </c>
      <c r="D31" s="30" t="inlineStr">
        <is>
          <t>ALCAPLANT NEW, 5 KG</t>
        </is>
      </c>
      <c r="E31" s="18" t="n">
        <v>0</v>
      </c>
      <c r="F31" s="18" t="n">
        <v>1100</v>
      </c>
      <c r="G31" s="18" t="n">
        <v>1100</v>
      </c>
      <c r="H31" s="18" t="n">
        <v>0</v>
      </c>
      <c r="I31" s="18">
        <f>MAX(0, E31-F31)</f>
        <v/>
      </c>
      <c r="J31" s="18">
        <f>ABS(F31-E31)</f>
        <v/>
      </c>
      <c r="K31" s="19">
        <f>IF(E31&gt;0, F31/E31, IF(F31&gt;0, 1, 0))</f>
        <v/>
      </c>
      <c r="L31" s="32" t="inlineStr">
        <is>
          <t>Extra Estimación</t>
        </is>
      </c>
    </row>
    <row r="32">
      <c r="B32" s="27" t="inlineStr">
        <is>
          <t>INIESTA DEL PINO DISTRIBUCIONES S.L.U</t>
        </is>
      </c>
      <c r="C32" s="28" t="inlineStr">
        <is>
          <t>AGXK0020</t>
        </is>
      </c>
      <c r="D32" s="27" t="inlineStr">
        <is>
          <t>AGROXILATO-K, 20 L</t>
        </is>
      </c>
      <c r="E32" s="14" t="n">
        <v>606.7175</v>
      </c>
      <c r="F32" s="14" t="n">
        <v>0</v>
      </c>
      <c r="G32" s="14" t="n">
        <v>0</v>
      </c>
      <c r="H32" s="14" t="n">
        <v>0</v>
      </c>
      <c r="I32" s="14">
        <f>MAX(0, E32-F32)</f>
        <v/>
      </c>
      <c r="J32" s="14">
        <f>ABS(F32-E32)</f>
        <v/>
      </c>
      <c r="K32" s="15">
        <f>IF(E32&gt;0, F32/E32, IF(F32&gt;0, 1, 0))</f>
        <v/>
      </c>
      <c r="L32" s="36" t="inlineStr">
        <is>
          <t>Sin Pedido</t>
        </is>
      </c>
    </row>
    <row r="33">
      <c r="B33" s="30" t="inlineStr">
        <is>
          <t>INIESTA DEL PINO DISTRIBUCIONES S.L.U</t>
        </is>
      </c>
      <c r="C33" s="31" t="inlineStr">
        <is>
          <t>TRI0005</t>
        </is>
      </c>
      <c r="D33" s="30" t="inlineStr">
        <is>
          <t>TRIFENO-94, 5L</t>
        </is>
      </c>
      <c r="E33" s="18" t="n">
        <v>56.8798</v>
      </c>
      <c r="F33" s="18" t="n">
        <v>0</v>
      </c>
      <c r="G33" s="18" t="n">
        <v>0</v>
      </c>
      <c r="H33" s="18" t="n">
        <v>0</v>
      </c>
      <c r="I33" s="18">
        <f>MAX(0, E33-F33)</f>
        <v/>
      </c>
      <c r="J33" s="18">
        <f>ABS(F33-E33)</f>
        <v/>
      </c>
      <c r="K33" s="19">
        <f>IF(E33&gt;0, F33/E33, IF(F33&gt;0, 1, 0))</f>
        <v/>
      </c>
      <c r="L33" s="37" t="inlineStr">
        <is>
          <t>Sin Pedido</t>
        </is>
      </c>
    </row>
    <row r="34">
      <c r="B34" s="27" t="inlineStr">
        <is>
          <t>SC MARCOSER S.R.L.</t>
        </is>
      </c>
      <c r="C34" s="28" t="inlineStr">
        <is>
          <t>A-500001</t>
        </is>
      </c>
      <c r="D34" s="27" t="inlineStr">
        <is>
          <t>CODIORGAN  A-50</t>
        </is>
      </c>
      <c r="E34" s="14" t="n">
        <v>0</v>
      </c>
      <c r="F34" s="14" t="n">
        <v>1056</v>
      </c>
      <c r="G34" s="14" t="n">
        <v>1056</v>
      </c>
      <c r="H34" s="14" t="n">
        <v>0</v>
      </c>
      <c r="I34" s="14">
        <f>MAX(0, E34-F34)</f>
        <v/>
      </c>
      <c r="J34" s="14">
        <f>ABS(F34-E34)</f>
        <v/>
      </c>
      <c r="K34" s="15">
        <f>IF(E34&gt;0, F34/E34, IF(F34&gt;0, 1, 0))</f>
        <v/>
      </c>
      <c r="L34" s="29" t="inlineStr">
        <is>
          <t>Extra Estimación</t>
        </is>
      </c>
    </row>
    <row r="35">
      <c r="B35" s="30" t="inlineStr">
        <is>
          <t>SC MARCOSER S.R.L.</t>
        </is>
      </c>
      <c r="C35" s="31" t="inlineStr">
        <is>
          <t>AGMG0001</t>
        </is>
      </c>
      <c r="D35" s="30" t="inlineStr">
        <is>
          <t>AGROXILATO Mg</t>
        </is>
      </c>
      <c r="E35" s="18" t="n">
        <v>0</v>
      </c>
      <c r="F35" s="18" t="n">
        <v>528</v>
      </c>
      <c r="G35" s="18" t="n">
        <v>528</v>
      </c>
      <c r="H35" s="18" t="n">
        <v>0</v>
      </c>
      <c r="I35" s="18">
        <f>MAX(0, E35-F35)</f>
        <v/>
      </c>
      <c r="J35" s="18">
        <f>ABS(F35-E35)</f>
        <v/>
      </c>
      <c r="K35" s="19">
        <f>IF(E35&gt;0, F35/E35, IF(F35&gt;0, 1, 0))</f>
        <v/>
      </c>
      <c r="L35" s="32" t="inlineStr">
        <is>
          <t>Extra Estimación</t>
        </is>
      </c>
    </row>
    <row r="36">
      <c r="B36" s="27" t="inlineStr">
        <is>
          <t>SC MARCOSER S.R.L.</t>
        </is>
      </c>
      <c r="C36" s="28" t="inlineStr">
        <is>
          <t>AGXKAEP0001</t>
        </is>
      </c>
      <c r="D36" s="27" t="inlineStr">
        <is>
          <t>BIOCULTURE POTASIO PLUS, 1 L</t>
        </is>
      </c>
      <c r="E36" s="14" t="n">
        <v>0</v>
      </c>
      <c r="F36" s="14" t="n">
        <v>396</v>
      </c>
      <c r="G36" s="14" t="n">
        <v>396</v>
      </c>
      <c r="H36" s="14" t="n">
        <v>0</v>
      </c>
      <c r="I36" s="14">
        <f>MAX(0, E36-F36)</f>
        <v/>
      </c>
      <c r="J36" s="14">
        <f>ABS(F36-E36)</f>
        <v/>
      </c>
      <c r="K36" s="15">
        <f>IF(E36&gt;0, F36/E36, IF(F36&gt;0, 1, 0))</f>
        <v/>
      </c>
      <c r="L36" s="29" t="inlineStr">
        <is>
          <t>Extra Estimación</t>
        </is>
      </c>
    </row>
    <row r="37">
      <c r="B37" s="30" t="inlineStr">
        <is>
          <t>SC MARCOSER S.R.L.</t>
        </is>
      </c>
      <c r="C37" s="31" t="inlineStr">
        <is>
          <t>BIO0001</t>
        </is>
      </c>
      <c r="D37" s="30" t="inlineStr">
        <is>
          <t>BIORAD-20</t>
        </is>
      </c>
      <c r="E37" s="18" t="n">
        <v>0</v>
      </c>
      <c r="F37" s="18" t="n">
        <v>792</v>
      </c>
      <c r="G37" s="18" t="n">
        <v>792</v>
      </c>
      <c r="H37" s="18" t="n">
        <v>0</v>
      </c>
      <c r="I37" s="18">
        <f>MAX(0, E37-F37)</f>
        <v/>
      </c>
      <c r="J37" s="18">
        <f>ABS(F37-E37)</f>
        <v/>
      </c>
      <c r="K37" s="19">
        <f>IF(E37&gt;0, F37/E37, IF(F37&gt;0, 1, 0))</f>
        <v/>
      </c>
      <c r="L37" s="32" t="inlineStr">
        <is>
          <t>Extra Estimación</t>
        </is>
      </c>
    </row>
    <row r="38">
      <c r="B38" s="27" t="inlineStr">
        <is>
          <t>SC MARCOSER S.R.L.</t>
        </is>
      </c>
      <c r="C38" s="28" t="inlineStr">
        <is>
          <t>BIO0005</t>
        </is>
      </c>
      <c r="D38" s="27" t="inlineStr">
        <is>
          <t>BIORAD-20</t>
        </is>
      </c>
      <c r="E38" s="14" t="n">
        <v>0</v>
      </c>
      <c r="F38" s="14" t="n">
        <v>600</v>
      </c>
      <c r="G38" s="14" t="n">
        <v>600</v>
      </c>
      <c r="H38" s="14" t="n">
        <v>0</v>
      </c>
      <c r="I38" s="14">
        <f>MAX(0, E38-F38)</f>
        <v/>
      </c>
      <c r="J38" s="14">
        <f>ABS(F38-E38)</f>
        <v/>
      </c>
      <c r="K38" s="15">
        <f>IF(E38&gt;0, F38/E38, IF(F38&gt;0, 1, 0))</f>
        <v/>
      </c>
      <c r="L38" s="29" t="inlineStr">
        <is>
          <t>Extra Estimación</t>
        </is>
      </c>
    </row>
    <row r="39">
      <c r="B39" s="30" t="inlineStr">
        <is>
          <t>SC MARCOSER S.R.L.</t>
        </is>
      </c>
      <c r="C39" s="31" t="inlineStr">
        <is>
          <t>BIO0020</t>
        </is>
      </c>
      <c r="D39" s="30" t="inlineStr">
        <is>
          <t>BIORAD-20</t>
        </is>
      </c>
      <c r="E39" s="18" t="n">
        <v>0</v>
      </c>
      <c r="F39" s="18" t="n">
        <v>640</v>
      </c>
      <c r="G39" s="18" t="n">
        <v>640</v>
      </c>
      <c r="H39" s="18" t="n">
        <v>0</v>
      </c>
      <c r="I39" s="18">
        <f>MAX(0, E39-F39)</f>
        <v/>
      </c>
      <c r="J39" s="18">
        <f>ABS(F39-E39)</f>
        <v/>
      </c>
      <c r="K39" s="19">
        <f>IF(E39&gt;0, F39/E39, IF(F39&gt;0, 1, 0))</f>
        <v/>
      </c>
      <c r="L39" s="32" t="inlineStr">
        <is>
          <t>Extra Estimación</t>
        </is>
      </c>
    </row>
    <row r="40">
      <c r="B40" s="27" t="inlineStr">
        <is>
          <t>SC MARCOSER S.R.L.</t>
        </is>
      </c>
      <c r="C40" s="28" t="inlineStr">
        <is>
          <t>C-L0001</t>
        </is>
      </c>
      <c r="D40" s="27" t="inlineStr">
        <is>
          <t>CODIBOR-L</t>
        </is>
      </c>
      <c r="E40" s="14" t="n">
        <v>0</v>
      </c>
      <c r="F40" s="14" t="n">
        <v>792</v>
      </c>
      <c r="G40" s="14" t="n">
        <v>792</v>
      </c>
      <c r="H40" s="14" t="n">
        <v>0</v>
      </c>
      <c r="I40" s="14">
        <f>MAX(0, E40-F40)</f>
        <v/>
      </c>
      <c r="J40" s="14">
        <f>ABS(F40-E40)</f>
        <v/>
      </c>
      <c r="K40" s="15">
        <f>IF(E40&gt;0, F40/E40, IF(F40&gt;0, 1, 0))</f>
        <v/>
      </c>
      <c r="L40" s="29" t="inlineStr">
        <is>
          <t>Extra Estimación</t>
        </is>
      </c>
    </row>
    <row r="41">
      <c r="B41" s="30" t="inlineStr">
        <is>
          <t>SC MARCOSER S.R.L.</t>
        </is>
      </c>
      <c r="C41" s="31" t="inlineStr">
        <is>
          <t>P-5X0020RU</t>
        </is>
      </c>
      <c r="D41" s="30" t="inlineStr">
        <is>
          <t>P.M.S. 5x, 20 L</t>
        </is>
      </c>
      <c r="E41" s="18" t="n">
        <v>0</v>
      </c>
      <c r="F41" s="18" t="n">
        <v>640</v>
      </c>
      <c r="G41" s="18" t="n">
        <v>640</v>
      </c>
      <c r="H41" s="18" t="n">
        <v>0</v>
      </c>
      <c r="I41" s="18">
        <f>MAX(0, E41-F41)</f>
        <v/>
      </c>
      <c r="J41" s="18">
        <f>ABS(F41-E41)</f>
        <v/>
      </c>
      <c r="K41" s="19">
        <f>IF(E41&gt;0, F41/E41, IF(F41&gt;0, 1, 0))</f>
        <v/>
      </c>
      <c r="L41" s="32" t="inlineStr">
        <is>
          <t>Extra Estimación</t>
        </is>
      </c>
    </row>
    <row r="42">
      <c r="B42" s="27" t="inlineStr">
        <is>
          <t>SC MARCOSER S.R.L.</t>
        </is>
      </c>
      <c r="C42" s="28" t="inlineStr">
        <is>
          <t>SPCE0001</t>
        </is>
      </c>
      <c r="D42" s="27" t="inlineStr">
        <is>
          <t>SPRINTENE</t>
        </is>
      </c>
      <c r="E42" s="14" t="n">
        <v>0</v>
      </c>
      <c r="F42" s="14" t="n">
        <v>792</v>
      </c>
      <c r="G42" s="14" t="n">
        <v>792</v>
      </c>
      <c r="H42" s="14" t="n">
        <v>0</v>
      </c>
      <c r="I42" s="14">
        <f>MAX(0, E42-F42)</f>
        <v/>
      </c>
      <c r="J42" s="14">
        <f>ABS(F42-E42)</f>
        <v/>
      </c>
      <c r="K42" s="15">
        <f>IF(E42&gt;0, F42/E42, IF(F42&gt;0, 1, 0))</f>
        <v/>
      </c>
      <c r="L42" s="29" t="inlineStr">
        <is>
          <t>Extra Estimación</t>
        </is>
      </c>
    </row>
    <row r="43">
      <c r="B43" s="30" t="inlineStr">
        <is>
          <t>SC MARCOSER S.R.L.</t>
        </is>
      </c>
      <c r="C43" s="31" t="inlineStr">
        <is>
          <t>SPCE0020</t>
        </is>
      </c>
      <c r="D43" s="30" t="inlineStr">
        <is>
          <t>SPRINTENE</t>
        </is>
      </c>
      <c r="E43" s="18" t="n">
        <v>0</v>
      </c>
      <c r="F43" s="18" t="n">
        <v>640</v>
      </c>
      <c r="G43" s="18" t="n">
        <v>640</v>
      </c>
      <c r="H43" s="18" t="n">
        <v>0</v>
      </c>
      <c r="I43" s="18">
        <f>MAX(0, E43-F43)</f>
        <v/>
      </c>
      <c r="J43" s="18">
        <f>ABS(F43-E43)</f>
        <v/>
      </c>
      <c r="K43" s="19">
        <f>IF(E43&gt;0, F43/E43, IF(F43&gt;0, 1, 0))</f>
        <v/>
      </c>
      <c r="L43" s="32" t="inlineStr">
        <is>
          <t>Extra Estimación</t>
        </is>
      </c>
    </row>
    <row r="44">
      <c r="B44" s="27" t="inlineStr">
        <is>
          <t>SC MARCOSER S.R.L.</t>
        </is>
      </c>
      <c r="C44" s="28" t="inlineStr">
        <is>
          <t>SS0001</t>
        </is>
      </c>
      <c r="D44" s="27" t="inlineStr">
        <is>
          <t>SAL-WAX Ca</t>
        </is>
      </c>
      <c r="E44" s="14" t="n">
        <v>0</v>
      </c>
      <c r="F44" s="14" t="n">
        <v>1056</v>
      </c>
      <c r="G44" s="14" t="n">
        <v>1056</v>
      </c>
      <c r="H44" s="14" t="n">
        <v>0</v>
      </c>
      <c r="I44" s="14">
        <f>MAX(0, E44-F44)</f>
        <v/>
      </c>
      <c r="J44" s="14">
        <f>ABS(F44-E44)</f>
        <v/>
      </c>
      <c r="K44" s="15">
        <f>IF(E44&gt;0, F44/E44, IF(F44&gt;0, 1, 0))</f>
        <v/>
      </c>
      <c r="L44" s="29" t="inlineStr">
        <is>
          <t>Extra Estimación</t>
        </is>
      </c>
    </row>
    <row r="45">
      <c r="B45" s="30" t="inlineStr">
        <is>
          <t>SERVIAGRI´ 97, S.L.</t>
        </is>
      </c>
      <c r="C45" s="31" t="inlineStr">
        <is>
          <t>AGXK0005</t>
        </is>
      </c>
      <c r="D45" s="30" t="inlineStr">
        <is>
          <t>AGROXILATO-K, 5 L</t>
        </is>
      </c>
      <c r="E45" s="18" t="n">
        <v>189.5992</v>
      </c>
      <c r="F45" s="18" t="n">
        <v>0</v>
      </c>
      <c r="G45" s="18" t="n">
        <v>0</v>
      </c>
      <c r="H45" s="18" t="n">
        <v>0</v>
      </c>
      <c r="I45" s="18">
        <f>MAX(0, E45-F45)</f>
        <v/>
      </c>
      <c r="J45" s="18">
        <f>ABS(F45-E45)</f>
        <v/>
      </c>
      <c r="K45" s="19">
        <f>IF(E45&gt;0, F45/E45, IF(F45&gt;0, 1, 0))</f>
        <v/>
      </c>
      <c r="L45" s="37" t="inlineStr">
        <is>
          <t>Sin Pedido</t>
        </is>
      </c>
    </row>
    <row r="46">
      <c r="B46" s="27" t="inlineStr">
        <is>
          <t>SERVIAGRI´ 97, S.L.</t>
        </is>
      </c>
      <c r="C46" s="28" t="inlineStr">
        <is>
          <t>AGXK0020</t>
        </is>
      </c>
      <c r="D46" s="27" t="inlineStr">
        <is>
          <t>AGROXILATO-K, 20 L</t>
        </is>
      </c>
      <c r="E46" s="14" t="n">
        <v>0</v>
      </c>
      <c r="F46" s="14" t="n">
        <v>120</v>
      </c>
      <c r="G46" s="14" t="n">
        <v>120</v>
      </c>
      <c r="H46" s="14" t="n">
        <v>0</v>
      </c>
      <c r="I46" s="14">
        <f>MAX(0, E46-F46)</f>
        <v/>
      </c>
      <c r="J46" s="14">
        <f>ABS(F46-E46)</f>
        <v/>
      </c>
      <c r="K46" s="15">
        <f>IF(E46&gt;0, F46/E46, IF(F46&gt;0, 1, 0))</f>
        <v/>
      </c>
      <c r="L46" s="29" t="inlineStr">
        <is>
          <t>Extra Estimación</t>
        </is>
      </c>
    </row>
    <row r="47">
      <c r="B47" s="30" t="inlineStr">
        <is>
          <t>SERVIAGRI´ 97, S.L.</t>
        </is>
      </c>
      <c r="C47" s="31" t="inlineStr">
        <is>
          <t>AVAN0005</t>
        </is>
      </c>
      <c r="D47" s="30" t="inlineStr">
        <is>
          <t>FLORAMEC AVANCE, 5 L</t>
        </is>
      </c>
      <c r="E47" s="18" t="n">
        <v>94.7996</v>
      </c>
      <c r="F47" s="18" t="n">
        <v>120</v>
      </c>
      <c r="G47" s="18" t="n">
        <v>120</v>
      </c>
      <c r="H47" s="18" t="n">
        <v>0</v>
      </c>
      <c r="I47" s="18">
        <f>MAX(0, E47-F47)</f>
        <v/>
      </c>
      <c r="J47" s="18">
        <f>ABS(F47-E47)</f>
        <v/>
      </c>
      <c r="K47" s="19">
        <f>IF(E47&gt;0, F47/E47, IF(F47&gt;0, 1, 0))</f>
        <v/>
      </c>
      <c r="L47" s="32" t="inlineStr">
        <is>
          <t>Superado</t>
        </is>
      </c>
    </row>
    <row r="48">
      <c r="B48" s="27" t="inlineStr">
        <is>
          <t>SERVIAGRI´ 97, S.L.</t>
        </is>
      </c>
      <c r="C48" s="28" t="inlineStr">
        <is>
          <t>B0001</t>
        </is>
      </c>
      <c r="D48" s="27" t="inlineStr">
        <is>
          <t>BOROCAL,1 L</t>
        </is>
      </c>
      <c r="E48" s="14" t="n">
        <v>11.376</v>
      </c>
      <c r="F48" s="14" t="n">
        <v>12</v>
      </c>
      <c r="G48" s="14" t="n">
        <v>12</v>
      </c>
      <c r="H48" s="14" t="n">
        <v>0</v>
      </c>
      <c r="I48" s="14">
        <f>MAX(0, E48-F48)</f>
        <v/>
      </c>
      <c r="J48" s="14">
        <f>ABS(F48-E48)</f>
        <v/>
      </c>
      <c r="K48" s="15">
        <f>IF(E48&gt;0, F48/E48, IF(F48&gt;0, 1, 0))</f>
        <v/>
      </c>
      <c r="L48" s="29" t="inlineStr">
        <is>
          <t>Superado</t>
        </is>
      </c>
    </row>
    <row r="49">
      <c r="B49" s="30" t="inlineStr">
        <is>
          <t>SERVIAGRI´ 97, S.L.</t>
        </is>
      </c>
      <c r="C49" s="31" t="inlineStr">
        <is>
          <t>BIO0005</t>
        </is>
      </c>
      <c r="D49" s="30" t="inlineStr">
        <is>
          <t>BIORAD-20, 5L</t>
        </is>
      </c>
      <c r="E49" s="18" t="n">
        <v>284.3988</v>
      </c>
      <c r="F49" s="18" t="n">
        <v>0</v>
      </c>
      <c r="G49" s="18" t="n">
        <v>0</v>
      </c>
      <c r="H49" s="18" t="n">
        <v>0</v>
      </c>
      <c r="I49" s="18">
        <f>MAX(0, E49-F49)</f>
        <v/>
      </c>
      <c r="J49" s="18">
        <f>ABS(F49-E49)</f>
        <v/>
      </c>
      <c r="K49" s="19">
        <f>IF(E49&gt;0, F49/E49, IF(F49&gt;0, 1, 0))</f>
        <v/>
      </c>
      <c r="L49" s="37" t="inlineStr">
        <is>
          <t>Sin Pedido</t>
        </is>
      </c>
    </row>
    <row r="50">
      <c r="B50" s="27" t="inlineStr">
        <is>
          <t>SERVIAGRI´ 97, S.L.</t>
        </is>
      </c>
      <c r="C50" s="28" t="inlineStr">
        <is>
          <t>BROTA0001</t>
        </is>
      </c>
      <c r="D50" s="27" t="inlineStr">
        <is>
          <t>BROTAMEC, 1 L</t>
        </is>
      </c>
      <c r="E50" s="14" t="n">
        <v>0</v>
      </c>
      <c r="F50" s="14" t="n">
        <v>24</v>
      </c>
      <c r="G50" s="14" t="n">
        <v>24</v>
      </c>
      <c r="H50" s="14" t="n">
        <v>0</v>
      </c>
      <c r="I50" s="14">
        <f>MAX(0, E50-F50)</f>
        <v/>
      </c>
      <c r="J50" s="14">
        <f>ABS(F50-E50)</f>
        <v/>
      </c>
      <c r="K50" s="15">
        <f>IF(E50&gt;0, F50/E50, IF(F50&gt;0, 1, 0))</f>
        <v/>
      </c>
      <c r="L50" s="29" t="inlineStr">
        <is>
          <t>Extra Estimación</t>
        </is>
      </c>
    </row>
    <row r="51">
      <c r="B51" s="30" t="inlineStr">
        <is>
          <t>SERVIAGRI´ 97, S.L.</t>
        </is>
      </c>
      <c r="C51" s="31" t="inlineStr">
        <is>
          <t>BROTA0005</t>
        </is>
      </c>
      <c r="D51" s="30" t="inlineStr">
        <is>
          <t>BROTAMEC, 5 L</t>
        </is>
      </c>
      <c r="E51" s="18" t="n">
        <v>0</v>
      </c>
      <c r="F51" s="18" t="n">
        <v>100</v>
      </c>
      <c r="G51" s="18" t="n">
        <v>100</v>
      </c>
      <c r="H51" s="18" t="n">
        <v>0</v>
      </c>
      <c r="I51" s="18">
        <f>MAX(0, E51-F51)</f>
        <v/>
      </c>
      <c r="J51" s="18">
        <f>ABS(F51-E51)</f>
        <v/>
      </c>
      <c r="K51" s="19">
        <f>IF(E51&gt;0, F51/E51, IF(F51&gt;0, 1, 0))</f>
        <v/>
      </c>
      <c r="L51" s="32" t="inlineStr">
        <is>
          <t>Extra Estimación</t>
        </is>
      </c>
    </row>
    <row r="52">
      <c r="B52" s="27" t="inlineStr">
        <is>
          <t>SERVIAGRI´ 97, S.L.</t>
        </is>
      </c>
      <c r="C52" s="28" t="inlineStr">
        <is>
          <t>FTK0005</t>
        </is>
      </c>
      <c r="D52" s="27" t="inlineStr">
        <is>
          <t>FITOKONTROL CA FLOW, 5 KG</t>
        </is>
      </c>
      <c r="E52" s="14" t="n">
        <v>284.3988</v>
      </c>
      <c r="F52" s="14" t="n">
        <v>160</v>
      </c>
      <c r="G52" s="14" t="n">
        <v>160</v>
      </c>
      <c r="H52" s="14" t="n">
        <v>0</v>
      </c>
      <c r="I52" s="14">
        <f>MAX(0, E52-F52)</f>
        <v/>
      </c>
      <c r="J52" s="14">
        <f>ABS(F52-E52)</f>
        <v/>
      </c>
      <c r="K52" s="15">
        <f>IF(E52&gt;0, F52/E52, IF(F52&gt;0, 1, 0))</f>
        <v/>
      </c>
      <c r="L52" s="33" t="inlineStr">
        <is>
          <t>En Curso</t>
        </is>
      </c>
    </row>
    <row r="53">
      <c r="B53" s="30" t="inlineStr">
        <is>
          <t>SERVIAGRI´ 97, S.L.</t>
        </is>
      </c>
      <c r="C53" s="31" t="inlineStr">
        <is>
          <t>JF0005</t>
        </is>
      </c>
      <c r="D53" s="30" t="inlineStr">
        <is>
          <t>CODIGIN-FOS, 5 L</t>
        </is>
      </c>
      <c r="E53" s="18" t="n">
        <v>94.7996</v>
      </c>
      <c r="F53" s="18" t="n">
        <v>120</v>
      </c>
      <c r="G53" s="18" t="n">
        <v>120</v>
      </c>
      <c r="H53" s="18" t="n">
        <v>0</v>
      </c>
      <c r="I53" s="18">
        <f>MAX(0, E53-F53)</f>
        <v/>
      </c>
      <c r="J53" s="18">
        <f>ABS(F53-E53)</f>
        <v/>
      </c>
      <c r="K53" s="19">
        <f>IF(E53&gt;0, F53/E53, IF(F53&gt;0, 1, 0))</f>
        <v/>
      </c>
      <c r="L53" s="32" t="inlineStr">
        <is>
          <t>Superado</t>
        </is>
      </c>
    </row>
    <row r="54">
      <c r="B54" s="27" t="inlineStr">
        <is>
          <t>SERVIAGRI´ 97, S.L.</t>
        </is>
      </c>
      <c r="C54" s="28" t="inlineStr">
        <is>
          <t>SSAE0005</t>
        </is>
      </c>
      <c r="D54" s="27" t="inlineStr">
        <is>
          <t>MAGNIFIC-VIETS-AE, 5 KG</t>
        </is>
      </c>
      <c r="E54" s="14" t="n">
        <v>0</v>
      </c>
      <c r="F54" s="14" t="n">
        <v>60</v>
      </c>
      <c r="G54" s="14" t="n">
        <v>60</v>
      </c>
      <c r="H54" s="14" t="n">
        <v>0</v>
      </c>
      <c r="I54" s="14">
        <f>MAX(0, E54-F54)</f>
        <v/>
      </c>
      <c r="J54" s="14">
        <f>ABS(F54-E54)</f>
        <v/>
      </c>
      <c r="K54" s="15">
        <f>IF(E54&gt;0, F54/E54, IF(F54&gt;0, 1, 0))</f>
        <v/>
      </c>
      <c r="L54" s="29" t="inlineStr">
        <is>
          <t>Extra Estimación</t>
        </is>
      </c>
    </row>
    <row r="55">
      <c r="B55" s="30" t="inlineStr">
        <is>
          <t>TRATAMIENTOS AGRICOLAS BRENES, S.L.</t>
        </is>
      </c>
      <c r="C55" s="31" t="inlineStr">
        <is>
          <t>WHITE0020</t>
        </is>
      </c>
      <c r="D55" s="30" t="inlineStr">
        <is>
          <t>AGROWHITE, 20 KG</t>
        </is>
      </c>
      <c r="E55" s="18" t="n">
        <v>1042.7958</v>
      </c>
      <c r="F55" s="18" t="n">
        <v>1100</v>
      </c>
      <c r="G55" s="18" t="n">
        <v>1100</v>
      </c>
      <c r="H55" s="18" t="n">
        <v>0</v>
      </c>
      <c r="I55" s="18">
        <f>MAX(0, E55-F55)</f>
        <v/>
      </c>
      <c r="J55" s="18">
        <f>ABS(F55-E55)</f>
        <v/>
      </c>
      <c r="K55" s="19">
        <f>IF(E55&gt;0, F55/E55, IF(F55&gt;0, 1, 0))</f>
        <v/>
      </c>
      <c r="L55" s="32" t="inlineStr">
        <is>
          <t>Superado</t>
        </is>
      </c>
    </row>
    <row r="56" ht="24" customHeight="1">
      <c r="B56" s="20" t="inlineStr">
        <is>
          <t>TOTAL GARCÍA</t>
        </is>
      </c>
      <c r="C56" s="34" t="inlineStr">
        <is>
          <t>234 líneas</t>
        </is>
      </c>
      <c r="D56" s="35" t="inlineStr"/>
      <c r="E56" s="22">
        <f>SUM(E10:E55)</f>
        <v/>
      </c>
      <c r="F56" s="22">
        <f>SUM(F10:F55)</f>
        <v/>
      </c>
      <c r="G56" s="22">
        <f>SUM(G10:G55)</f>
        <v/>
      </c>
      <c r="H56" s="22">
        <f>SUM(H10:H55)</f>
        <v/>
      </c>
      <c r="I56" s="22">
        <f>SUM(I10:I55)</f>
        <v/>
      </c>
      <c r="J56" s="22">
        <f>SUM(J10:J55)</f>
        <v/>
      </c>
      <c r="K56" s="23">
        <f>IF(E56&gt;0, F56/E56, 0)</f>
        <v/>
      </c>
      <c r="L56" s="21">
        <f>IF(K56&gt;=1, "SUPERADO", "EN CURSO")</f>
        <v/>
      </c>
    </row>
  </sheetData>
  <mergeCells count="12">
    <mergeCell ref="D6:E6"/>
    <mergeCell ref="B6:C6"/>
    <mergeCell ref="H6:I6"/>
    <mergeCell ref="J5:K5"/>
    <mergeCell ref="J6:K6"/>
    <mergeCell ref="B5:C5"/>
    <mergeCell ref="F5:G5"/>
    <mergeCell ref="D5:E5"/>
    <mergeCell ref="B3:L3"/>
    <mergeCell ref="B2:L2"/>
    <mergeCell ref="F6:G6"/>
    <mergeCell ref="H5:I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4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28" customWidth="1" min="4" max="4"/>
    <col width="14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  <col width="14" customWidth="1" min="11" max="11"/>
    <col width="16" customWidth="1" min="12" max="12"/>
  </cols>
  <sheetData>
    <row r="2" ht="36" customHeight="1">
      <c r="B2" s="1" t="inlineStr">
        <is>
          <t>CODIAGRO - SEGUIMIENTO COMERCIAL: IRENE (UNIDADES)</t>
        </is>
      </c>
    </row>
    <row r="3" ht="18" customHeight="1">
      <c r="B3" s="2" t="inlineStr">
        <is>
          <t>Seguimiento diario de Previsión Septiembre 2026 vs Pedidos a Fecha 30/09/2026</t>
        </is>
      </c>
    </row>
    <row r="5" ht="16" customHeight="1">
      <c r="B5" s="3" t="inlineStr">
        <is>
          <t>ESTIMACIÓN SEP (U)</t>
        </is>
      </c>
      <c r="C5" s="4" t="n"/>
      <c r="D5" s="5" t="inlineStr">
        <is>
          <t>PEDIDOS REALES (U)</t>
        </is>
      </c>
      <c r="E5" s="4" t="n"/>
      <c r="F5" s="5" t="inlineStr">
        <is>
          <t>% CONSECUCIÓN</t>
        </is>
      </c>
      <c r="G5" s="4" t="n"/>
      <c r="H5" s="5" t="inlineStr">
        <is>
          <t>FALTA CONSEGUIR (GAP)</t>
        </is>
      </c>
      <c r="I5" s="4" t="n"/>
      <c r="J5" s="3" t="inlineStr">
        <is>
          <t>PENDIENTES SERVIR (U)</t>
        </is>
      </c>
      <c r="K5" s="4" t="n"/>
    </row>
    <row r="6" ht="25" customHeight="1">
      <c r="B6" s="24" t="inlineStr">
        <is>
          <t>20,774 u</t>
        </is>
      </c>
      <c r="C6" s="4" t="n"/>
      <c r="D6" s="25" t="inlineStr">
        <is>
          <t>23,674 u</t>
        </is>
      </c>
      <c r="E6" s="4" t="n"/>
      <c r="F6" s="25" t="inlineStr">
        <is>
          <t>114.0%</t>
        </is>
      </c>
      <c r="G6" s="4" t="n"/>
      <c r="H6" s="25" t="inlineStr">
        <is>
          <t>0 u</t>
        </is>
      </c>
      <c r="I6" s="4" t="n"/>
      <c r="J6" s="24" t="inlineStr">
        <is>
          <t>0 u</t>
        </is>
      </c>
      <c r="K6" s="4" t="n"/>
    </row>
    <row r="8">
      <c r="B8" s="26" t="inlineStr">
        <is>
          <t>DETALLE COMPARATIVO POR CLIENTE Y ARTÍCULO - IRENE (UNIDADES)</t>
        </is>
      </c>
    </row>
    <row r="9" ht="25" customHeight="1">
      <c r="B9" s="11" t="inlineStr">
        <is>
          <t>Cliente</t>
        </is>
      </c>
      <c r="C9" s="11" t="inlineStr">
        <is>
          <t>Cód. Artículo</t>
        </is>
      </c>
      <c r="D9" s="11" t="inlineStr">
        <is>
          <t>Descripción Artículo</t>
        </is>
      </c>
      <c r="E9" s="11" t="inlineStr">
        <is>
          <t>Estimación Sep (u)</t>
        </is>
      </c>
      <c r="F9" s="11" t="inlineStr">
        <is>
          <t>Pedidos Sep (u)</t>
        </is>
      </c>
      <c r="G9" s="11" t="inlineStr">
        <is>
          <t>Servidas (u)</t>
        </is>
      </c>
      <c r="H9" s="11" t="inlineStr">
        <is>
          <t>Pendientes (u)</t>
        </is>
      </c>
      <c r="I9" s="11" t="inlineStr">
        <is>
          <t>Falta (u)</t>
        </is>
      </c>
      <c r="J9" s="11" t="inlineStr">
        <is>
          <t>Desv. (u)</t>
        </is>
      </c>
      <c r="K9" s="11" t="inlineStr">
        <is>
          <t>% Consec.</t>
        </is>
      </c>
      <c r="L9" s="11" t="inlineStr">
        <is>
          <t>Estado</t>
        </is>
      </c>
    </row>
    <row r="10">
      <c r="B10" s="27" t="inlineStr">
        <is>
          <t>CAMPOEJIDO S.C.A.</t>
        </is>
      </c>
      <c r="C10" s="28" t="inlineStr">
        <is>
          <t>A-50(2)0005</t>
        </is>
      </c>
      <c r="D10" s="27" t="inlineStr">
        <is>
          <t>CODIORGAN-A50, 5 KG</t>
        </is>
      </c>
      <c r="E10" s="14" t="n">
        <v>189.5992</v>
      </c>
      <c r="F10" s="14" t="n">
        <v>100</v>
      </c>
      <c r="G10" s="14" t="n">
        <v>100</v>
      </c>
      <c r="H10" s="14" t="n">
        <v>0</v>
      </c>
      <c r="I10" s="14">
        <f>MAX(0, E10-F10)</f>
        <v/>
      </c>
      <c r="J10" s="14">
        <f>ABS(F10-E10)</f>
        <v/>
      </c>
      <c r="K10" s="15">
        <f>IF(E10&gt;0, F10/E10, IF(F10&gt;0, 1, 0))</f>
        <v/>
      </c>
      <c r="L10" s="33" t="inlineStr">
        <is>
          <t>En Curso</t>
        </is>
      </c>
    </row>
    <row r="11">
      <c r="B11" s="30" t="inlineStr">
        <is>
          <t>CAMPOEJIDO S.C.A.</t>
        </is>
      </c>
      <c r="C11" s="31" t="inlineStr">
        <is>
          <t>AGN0005</t>
        </is>
      </c>
      <c r="D11" s="30" t="inlineStr">
        <is>
          <t>AGROXILATO N, 5 L</t>
        </is>
      </c>
      <c r="E11" s="18" t="n">
        <v>0</v>
      </c>
      <c r="F11" s="18" t="n">
        <v>20</v>
      </c>
      <c r="G11" s="18" t="n">
        <v>20</v>
      </c>
      <c r="H11" s="18" t="n">
        <v>0</v>
      </c>
      <c r="I11" s="18">
        <f>MAX(0, E11-F11)</f>
        <v/>
      </c>
      <c r="J11" s="18">
        <f>ABS(F11-E11)</f>
        <v/>
      </c>
      <c r="K11" s="19">
        <f>IF(E11&gt;0, F11/E11, IF(F11&gt;0, 1, 0))</f>
        <v/>
      </c>
      <c r="L11" s="32" t="inlineStr">
        <is>
          <t>Extra Estimación</t>
        </is>
      </c>
    </row>
    <row r="12">
      <c r="B12" s="27" t="inlineStr">
        <is>
          <t>CAMPOEJIDO S.C.A.</t>
        </is>
      </c>
      <c r="C12" s="28" t="inlineStr">
        <is>
          <t>AGXK0020</t>
        </is>
      </c>
      <c r="D12" s="27" t="inlineStr">
        <is>
          <t>AGROXILATO-K, 20 L</t>
        </is>
      </c>
      <c r="E12" s="14" t="n">
        <v>1820.1526</v>
      </c>
      <c r="F12" s="14" t="n">
        <v>640</v>
      </c>
      <c r="G12" s="14" t="n">
        <v>640</v>
      </c>
      <c r="H12" s="14" t="n">
        <v>0</v>
      </c>
      <c r="I12" s="14">
        <f>MAX(0, E12-F12)</f>
        <v/>
      </c>
      <c r="J12" s="14">
        <f>ABS(F12-E12)</f>
        <v/>
      </c>
      <c r="K12" s="15">
        <f>IF(E12&gt;0, F12/E12, IF(F12&gt;0, 1, 0))</f>
        <v/>
      </c>
      <c r="L12" s="39" t="inlineStr">
        <is>
          <t>Rezagado</t>
        </is>
      </c>
    </row>
    <row r="13">
      <c r="B13" s="30" t="inlineStr">
        <is>
          <t>CAMPOEJIDO S.C.A.</t>
        </is>
      </c>
      <c r="C13" s="31" t="inlineStr">
        <is>
          <t>AVAN0005</t>
        </is>
      </c>
      <c r="D13" s="30" t="inlineStr">
        <is>
          <t>FLORAMEC AVANCE, 5 L</t>
        </is>
      </c>
      <c r="E13" s="18" t="n">
        <v>284.3988</v>
      </c>
      <c r="F13" s="18" t="n">
        <v>0</v>
      </c>
      <c r="G13" s="18" t="n">
        <v>0</v>
      </c>
      <c r="H13" s="18" t="n">
        <v>0</v>
      </c>
      <c r="I13" s="18">
        <f>MAX(0, E13-F13)</f>
        <v/>
      </c>
      <c r="J13" s="18">
        <f>ABS(F13-E13)</f>
        <v/>
      </c>
      <c r="K13" s="19">
        <f>IF(E13&gt;0, F13/E13, IF(F13&gt;0, 1, 0))</f>
        <v/>
      </c>
      <c r="L13" s="37" t="inlineStr">
        <is>
          <t>Sin Pedido</t>
        </is>
      </c>
    </row>
    <row r="14">
      <c r="B14" s="27" t="inlineStr">
        <is>
          <t>CAMPOEJIDO S.C.A.</t>
        </is>
      </c>
      <c r="C14" s="28" t="inlineStr">
        <is>
          <t>AVAN0020</t>
        </is>
      </c>
      <c r="D14" s="27" t="inlineStr">
        <is>
          <t>FLORAMEC AVANCE, 20 L</t>
        </is>
      </c>
      <c r="E14" s="14" t="n">
        <v>910.0762999999999</v>
      </c>
      <c r="F14" s="14" t="n">
        <v>2560</v>
      </c>
      <c r="G14" s="14" t="n">
        <v>2560</v>
      </c>
      <c r="H14" s="14" t="n">
        <v>0</v>
      </c>
      <c r="I14" s="14">
        <f>MAX(0, E14-F14)</f>
        <v/>
      </c>
      <c r="J14" s="14">
        <f>ABS(F14-E14)</f>
        <v/>
      </c>
      <c r="K14" s="15">
        <f>IF(E14&gt;0, F14/E14, IF(F14&gt;0, 1, 0))</f>
        <v/>
      </c>
      <c r="L14" s="29" t="inlineStr">
        <is>
          <t>Superado</t>
        </is>
      </c>
    </row>
    <row r="15">
      <c r="B15" s="30" t="inlineStr">
        <is>
          <t>CAMPOEJIDO S.C.A.</t>
        </is>
      </c>
      <c r="C15" s="31" t="inlineStr">
        <is>
          <t>BIO0020</t>
        </is>
      </c>
      <c r="D15" s="30" t="inlineStr">
        <is>
          <t>BIORAD-20, 20 L</t>
        </is>
      </c>
      <c r="E15" s="18" t="n">
        <v>606.7175</v>
      </c>
      <c r="F15" s="18" t="n">
        <v>640</v>
      </c>
      <c r="G15" s="18" t="n">
        <v>640</v>
      </c>
      <c r="H15" s="18" t="n">
        <v>0</v>
      </c>
      <c r="I15" s="18">
        <f>MAX(0, E15-F15)</f>
        <v/>
      </c>
      <c r="J15" s="18">
        <f>ABS(F15-E15)</f>
        <v/>
      </c>
      <c r="K15" s="19">
        <f>IF(E15&gt;0, F15/E15, IF(F15&gt;0, 1, 0))</f>
        <v/>
      </c>
      <c r="L15" s="32" t="inlineStr">
        <is>
          <t>Superado</t>
        </is>
      </c>
    </row>
    <row r="16">
      <c r="B16" s="27" t="inlineStr">
        <is>
          <t>CAMPOEJIDO S.C.A.</t>
        </is>
      </c>
      <c r="C16" s="28" t="inlineStr">
        <is>
          <t>C-GLB0001</t>
        </is>
      </c>
      <c r="D16" s="27" t="inlineStr">
        <is>
          <t>CODIORGAN GLB, 1 KG</t>
        </is>
      </c>
      <c r="E16" s="14" t="n">
        <v>56.8798</v>
      </c>
      <c r="F16" s="14" t="n">
        <v>0</v>
      </c>
      <c r="G16" s="14" t="n">
        <v>0</v>
      </c>
      <c r="H16" s="14" t="n">
        <v>0</v>
      </c>
      <c r="I16" s="14">
        <f>MAX(0, E16-F16)</f>
        <v/>
      </c>
      <c r="J16" s="14">
        <f>ABS(F16-E16)</f>
        <v/>
      </c>
      <c r="K16" s="15">
        <f>IF(E16&gt;0, F16/E16, IF(F16&gt;0, 1, 0))</f>
        <v/>
      </c>
      <c r="L16" s="36" t="inlineStr">
        <is>
          <t>Sin Pedido</t>
        </is>
      </c>
    </row>
    <row r="17">
      <c r="B17" s="30" t="inlineStr">
        <is>
          <t>CAMPOEJIDO S.C.A.</t>
        </is>
      </c>
      <c r="C17" s="31" t="inlineStr">
        <is>
          <t>C-L0005</t>
        </is>
      </c>
      <c r="D17" s="30" t="inlineStr">
        <is>
          <t>CODIBOR-L, 5 L</t>
        </is>
      </c>
      <c r="E17" s="18" t="n">
        <v>284.3988</v>
      </c>
      <c r="F17" s="18" t="n">
        <v>0</v>
      </c>
      <c r="G17" s="18" t="n">
        <v>0</v>
      </c>
      <c r="H17" s="18" t="n">
        <v>0</v>
      </c>
      <c r="I17" s="18">
        <f>MAX(0, E17-F17)</f>
        <v/>
      </c>
      <c r="J17" s="18">
        <f>ABS(F17-E17)</f>
        <v/>
      </c>
      <c r="K17" s="19">
        <f>IF(E17&gt;0, F17/E17, IF(F17&gt;0, 1, 0))</f>
        <v/>
      </c>
      <c r="L17" s="37" t="inlineStr">
        <is>
          <t>Sin Pedido</t>
        </is>
      </c>
    </row>
    <row r="18">
      <c r="B18" s="27" t="inlineStr">
        <is>
          <t>CAMPOEJIDO S.C.A.</t>
        </is>
      </c>
      <c r="C18" s="28" t="inlineStr">
        <is>
          <t>C-MB0001</t>
        </is>
      </c>
      <c r="D18" s="27" t="inlineStr">
        <is>
          <t>CODIFOL-MB, 1 L</t>
        </is>
      </c>
      <c r="E18" s="14" t="n">
        <v>45.5038</v>
      </c>
      <c r="F18" s="14" t="n">
        <v>36</v>
      </c>
      <c r="G18" s="14" t="n">
        <v>36</v>
      </c>
      <c r="H18" s="14" t="n">
        <v>0</v>
      </c>
      <c r="I18" s="14">
        <f>MAX(0, E18-F18)</f>
        <v/>
      </c>
      <c r="J18" s="14">
        <f>ABS(F18-E18)</f>
        <v/>
      </c>
      <c r="K18" s="15">
        <f>IF(E18&gt;0, F18/E18, IF(F18&gt;0, 1, 0))</f>
        <v/>
      </c>
      <c r="L18" s="33" t="inlineStr">
        <is>
          <t>En Curso</t>
        </is>
      </c>
    </row>
    <row r="19">
      <c r="B19" s="30" t="inlineStr">
        <is>
          <t>CAMPOEJIDO S.C.A.</t>
        </is>
      </c>
      <c r="C19" s="31" t="inlineStr">
        <is>
          <t>C-MB0005</t>
        </is>
      </c>
      <c r="D19" s="30" t="inlineStr">
        <is>
          <t>CODIFOL-MB, 5 L</t>
        </is>
      </c>
      <c r="E19" s="18" t="n">
        <v>379.1985</v>
      </c>
      <c r="F19" s="18" t="n">
        <v>1300</v>
      </c>
      <c r="G19" s="18" t="n">
        <v>1300</v>
      </c>
      <c r="H19" s="18" t="n">
        <v>0</v>
      </c>
      <c r="I19" s="18">
        <f>MAX(0, E19-F19)</f>
        <v/>
      </c>
      <c r="J19" s="18">
        <f>ABS(F19-E19)</f>
        <v/>
      </c>
      <c r="K19" s="19">
        <f>IF(E19&gt;0, F19/E19, IF(F19&gt;0, 1, 0))</f>
        <v/>
      </c>
      <c r="L19" s="32" t="inlineStr">
        <is>
          <t>Superado</t>
        </is>
      </c>
    </row>
    <row r="20">
      <c r="B20" s="27" t="inlineStr">
        <is>
          <t>CAMPOEJIDO S.C.A.</t>
        </is>
      </c>
      <c r="C20" s="28" t="inlineStr">
        <is>
          <t>CALCIO0005</t>
        </is>
      </c>
      <c r="D20" s="27" t="inlineStr">
        <is>
          <t>CALCIAMEC, 5 KG</t>
        </is>
      </c>
      <c r="E20" s="14" t="n">
        <v>758.3969</v>
      </c>
      <c r="F20" s="14" t="n">
        <v>1600</v>
      </c>
      <c r="G20" s="14" t="n">
        <v>1600</v>
      </c>
      <c r="H20" s="14" t="n">
        <v>0</v>
      </c>
      <c r="I20" s="14">
        <f>MAX(0, E20-F20)</f>
        <v/>
      </c>
      <c r="J20" s="14">
        <f>ABS(F20-E20)</f>
        <v/>
      </c>
      <c r="K20" s="15">
        <f>IF(E20&gt;0, F20/E20, IF(F20&gt;0, 1, 0))</f>
        <v/>
      </c>
      <c r="L20" s="29" t="inlineStr">
        <is>
          <t>Superado</t>
        </is>
      </c>
    </row>
    <row r="21">
      <c r="B21" s="30" t="inlineStr">
        <is>
          <t>CAMPOEJIDO S.C.A.</t>
        </is>
      </c>
      <c r="C21" s="31" t="inlineStr">
        <is>
          <t>CPLUS0020</t>
        </is>
      </c>
      <c r="D21" s="30" t="inlineStr">
        <is>
          <t>CALCIPLUS, 20 L</t>
        </is>
      </c>
      <c r="E21" s="18" t="n">
        <v>1213.4351</v>
      </c>
      <c r="F21" s="18" t="n">
        <v>4480</v>
      </c>
      <c r="G21" s="18" t="n">
        <v>4480</v>
      </c>
      <c r="H21" s="18" t="n">
        <v>0</v>
      </c>
      <c r="I21" s="18">
        <f>MAX(0, E21-F21)</f>
        <v/>
      </c>
      <c r="J21" s="18">
        <f>ABS(F21-E21)</f>
        <v/>
      </c>
      <c r="K21" s="19">
        <f>IF(E21&gt;0, F21/E21, IF(F21&gt;0, 1, 0))</f>
        <v/>
      </c>
      <c r="L21" s="32" t="inlineStr">
        <is>
          <t>Superado</t>
        </is>
      </c>
    </row>
    <row r="22">
      <c r="B22" s="27" t="inlineStr">
        <is>
          <t>CAMPOEJIDO S.C.A.</t>
        </is>
      </c>
      <c r="C22" s="28" t="inlineStr">
        <is>
          <t>PHD0001</t>
        </is>
      </c>
      <c r="D22" s="27" t="inlineStr">
        <is>
          <t>PH-DOWNER, 1 L</t>
        </is>
      </c>
      <c r="E22" s="14" t="n">
        <v>0</v>
      </c>
      <c r="F22" s="14" t="n">
        <v>48</v>
      </c>
      <c r="G22" s="14" t="n">
        <v>48</v>
      </c>
      <c r="H22" s="14" t="n">
        <v>0</v>
      </c>
      <c r="I22" s="14">
        <f>MAX(0, E22-F22)</f>
        <v/>
      </c>
      <c r="J22" s="14">
        <f>ABS(F22-E22)</f>
        <v/>
      </c>
      <c r="K22" s="15">
        <f>IF(E22&gt;0, F22/E22, IF(F22&gt;0, 1, 0))</f>
        <v/>
      </c>
      <c r="L22" s="29" t="inlineStr">
        <is>
          <t>Extra Estimación</t>
        </is>
      </c>
    </row>
    <row r="23">
      <c r="B23" s="30" t="inlineStr">
        <is>
          <t>CAMPOEJIDO S.C.A.</t>
        </is>
      </c>
      <c r="C23" s="31" t="inlineStr">
        <is>
          <t>PHD0005</t>
        </is>
      </c>
      <c r="D23" s="30" t="inlineStr">
        <is>
          <t>PH-DOWNER, 5 L</t>
        </is>
      </c>
      <c r="E23" s="18" t="n">
        <v>94.7996</v>
      </c>
      <c r="F23" s="18" t="n">
        <v>300</v>
      </c>
      <c r="G23" s="18" t="n">
        <v>300</v>
      </c>
      <c r="H23" s="18" t="n">
        <v>0</v>
      </c>
      <c r="I23" s="18">
        <f>MAX(0, E23-F23)</f>
        <v/>
      </c>
      <c r="J23" s="18">
        <f>ABS(F23-E23)</f>
        <v/>
      </c>
      <c r="K23" s="19">
        <f>IF(E23&gt;0, F23/E23, IF(F23&gt;0, 1, 0))</f>
        <v/>
      </c>
      <c r="L23" s="32" t="inlineStr">
        <is>
          <t>Superado</t>
        </is>
      </c>
    </row>
    <row r="24">
      <c r="B24" s="27" t="inlineStr">
        <is>
          <t>CAMPOEJIDO S.C.A.</t>
        </is>
      </c>
      <c r="C24" s="28" t="inlineStr">
        <is>
          <t>PIV0020</t>
        </is>
      </c>
      <c r="D24" s="27" t="inlineStr">
        <is>
          <t>PGR IV, 20 L</t>
        </is>
      </c>
      <c r="E24" s="14" t="n">
        <v>3033.5876</v>
      </c>
      <c r="F24" s="14" t="n">
        <v>640</v>
      </c>
      <c r="G24" s="14" t="n">
        <v>640</v>
      </c>
      <c r="H24" s="14" t="n">
        <v>0</v>
      </c>
      <c r="I24" s="14">
        <f>MAX(0, E24-F24)</f>
        <v/>
      </c>
      <c r="J24" s="14">
        <f>ABS(F24-E24)</f>
        <v/>
      </c>
      <c r="K24" s="15">
        <f>IF(E24&gt;0, F24/E24, IF(F24&gt;0, 1, 0))</f>
        <v/>
      </c>
      <c r="L24" s="39" t="inlineStr">
        <is>
          <t>Rezagado</t>
        </is>
      </c>
    </row>
    <row r="25">
      <c r="B25" s="30" t="inlineStr">
        <is>
          <t>CAMPOEJIDO S.C.A.</t>
        </is>
      </c>
      <c r="C25" s="31" t="inlineStr">
        <is>
          <t>S0020</t>
        </is>
      </c>
      <c r="D25" s="30" t="inlineStr">
        <is>
          <t>SAL-WAX STAR, 20 L</t>
        </is>
      </c>
      <c r="E25" s="18" t="n">
        <v>606.7175</v>
      </c>
      <c r="F25" s="18" t="n">
        <v>0</v>
      </c>
      <c r="G25" s="18" t="n">
        <v>0</v>
      </c>
      <c r="H25" s="18" t="n">
        <v>0</v>
      </c>
      <c r="I25" s="18">
        <f>MAX(0, E25-F25)</f>
        <v/>
      </c>
      <c r="J25" s="18">
        <f>ABS(F25-E25)</f>
        <v/>
      </c>
      <c r="K25" s="19">
        <f>IF(E25&gt;0, F25/E25, IF(F25&gt;0, 1, 0))</f>
        <v/>
      </c>
      <c r="L25" s="37" t="inlineStr">
        <is>
          <t>Sin Pedido</t>
        </is>
      </c>
    </row>
    <row r="26">
      <c r="B26" s="27" t="inlineStr">
        <is>
          <t>CAMPOEJIDO S.C.A.</t>
        </is>
      </c>
      <c r="C26" s="28" t="inlineStr">
        <is>
          <t>TRI0005</t>
        </is>
      </c>
      <c r="D26" s="27" t="inlineStr">
        <is>
          <t>TRIFENO-94, 5L</t>
        </is>
      </c>
      <c r="E26" s="14" t="n">
        <v>94.7996</v>
      </c>
      <c r="F26" s="14" t="n">
        <v>100</v>
      </c>
      <c r="G26" s="14" t="n">
        <v>100</v>
      </c>
      <c r="H26" s="14" t="n">
        <v>0</v>
      </c>
      <c r="I26" s="14">
        <f>MAX(0, E26-F26)</f>
        <v/>
      </c>
      <c r="J26" s="14">
        <f>ABS(F26-E26)</f>
        <v/>
      </c>
      <c r="K26" s="15">
        <f>IF(E26&gt;0, F26/E26, IF(F26&gt;0, 1, 0))</f>
        <v/>
      </c>
      <c r="L26" s="29" t="inlineStr">
        <is>
          <t>Superado</t>
        </is>
      </c>
    </row>
    <row r="27">
      <c r="B27" s="30" t="inlineStr">
        <is>
          <t>COOP.AGRIC. SAN ISIDRO S.C.A.</t>
        </is>
      </c>
      <c r="C27" s="31" t="inlineStr">
        <is>
          <t>AGXK0020</t>
        </is>
      </c>
      <c r="D27" s="30" t="inlineStr">
        <is>
          <t>AGROXILATO-K, 20 L</t>
        </is>
      </c>
      <c r="E27" s="18" t="n">
        <v>3033.5876</v>
      </c>
      <c r="F27" s="18" t="n">
        <v>0</v>
      </c>
      <c r="G27" s="18" t="n">
        <v>0</v>
      </c>
      <c r="H27" s="18" t="n">
        <v>0</v>
      </c>
      <c r="I27" s="18">
        <f>MAX(0, E27-F27)</f>
        <v/>
      </c>
      <c r="J27" s="18">
        <f>ABS(F27-E27)</f>
        <v/>
      </c>
      <c r="K27" s="19">
        <f>IF(E27&gt;0, F27/E27, IF(F27&gt;0, 1, 0))</f>
        <v/>
      </c>
      <c r="L27" s="37" t="inlineStr">
        <is>
          <t>Sin Pedido</t>
        </is>
      </c>
    </row>
    <row r="28">
      <c r="B28" s="27" t="inlineStr">
        <is>
          <t>COOP.AGRIC. SAN ISIDRO S.C.A.</t>
        </is>
      </c>
      <c r="C28" s="28" t="inlineStr">
        <is>
          <t>AGXK0200</t>
        </is>
      </c>
      <c r="D28" s="27" t="inlineStr">
        <is>
          <t>AGROXILATO-K, 200 L</t>
        </is>
      </c>
      <c r="E28" s="14" t="n">
        <v>379.1985</v>
      </c>
      <c r="F28" s="14" t="n">
        <v>0</v>
      </c>
      <c r="G28" s="14" t="n">
        <v>0</v>
      </c>
      <c r="H28" s="14" t="n">
        <v>0</v>
      </c>
      <c r="I28" s="14">
        <f>MAX(0, E28-F28)</f>
        <v/>
      </c>
      <c r="J28" s="14">
        <f>ABS(F28-E28)</f>
        <v/>
      </c>
      <c r="K28" s="15">
        <f>IF(E28&gt;0, F28/E28, IF(F28&gt;0, 1, 0))</f>
        <v/>
      </c>
      <c r="L28" s="36" t="inlineStr">
        <is>
          <t>Sin Pedido</t>
        </is>
      </c>
    </row>
    <row r="29">
      <c r="B29" s="30" t="inlineStr">
        <is>
          <t>COOP.AGRIC. SAN ISIDRO S.C.A.</t>
        </is>
      </c>
      <c r="C29" s="31" t="inlineStr">
        <is>
          <t>AVAN0005</t>
        </is>
      </c>
      <c r="D29" s="30" t="inlineStr">
        <is>
          <t>FLORAMEC AVANCE, 5 L</t>
        </is>
      </c>
      <c r="E29" s="18" t="n">
        <v>1137.5954</v>
      </c>
      <c r="F29" s="18" t="n">
        <v>0</v>
      </c>
      <c r="G29" s="18" t="n">
        <v>0</v>
      </c>
      <c r="H29" s="18" t="n">
        <v>0</v>
      </c>
      <c r="I29" s="18">
        <f>MAX(0, E29-F29)</f>
        <v/>
      </c>
      <c r="J29" s="18">
        <f>ABS(F29-E29)</f>
        <v/>
      </c>
      <c r="K29" s="19">
        <f>IF(E29&gt;0, F29/E29, IF(F29&gt;0, 1, 0))</f>
        <v/>
      </c>
      <c r="L29" s="37" t="inlineStr">
        <is>
          <t>Sin Pedido</t>
        </is>
      </c>
    </row>
    <row r="30">
      <c r="B30" s="27" t="inlineStr">
        <is>
          <t>COOP.AGRIC. SAN ISIDRO S.C.A.</t>
        </is>
      </c>
      <c r="C30" s="28" t="inlineStr">
        <is>
          <t>C-L0005</t>
        </is>
      </c>
      <c r="D30" s="27" t="inlineStr">
        <is>
          <t>CODIBOR-L, 5 L</t>
        </is>
      </c>
      <c r="E30" s="14" t="n">
        <v>189.5992</v>
      </c>
      <c r="F30" s="14" t="n">
        <v>0</v>
      </c>
      <c r="G30" s="14" t="n">
        <v>0</v>
      </c>
      <c r="H30" s="14" t="n">
        <v>0</v>
      </c>
      <c r="I30" s="14">
        <f>MAX(0, E30-F30)</f>
        <v/>
      </c>
      <c r="J30" s="14">
        <f>ABS(F30-E30)</f>
        <v/>
      </c>
      <c r="K30" s="15">
        <f>IF(E30&gt;0, F30/E30, IF(F30&gt;0, 1, 0))</f>
        <v/>
      </c>
      <c r="L30" s="36" t="inlineStr">
        <is>
          <t>Sin Pedido</t>
        </is>
      </c>
    </row>
    <row r="31">
      <c r="B31" s="30" t="inlineStr">
        <is>
          <t>COOP.AGRIC. SAN ISIDRO S.C.A.</t>
        </is>
      </c>
      <c r="C31" s="31" t="inlineStr">
        <is>
          <t>C-MB0005</t>
        </is>
      </c>
      <c r="D31" s="30" t="inlineStr">
        <is>
          <t>CODIFOL-MB, 5 L</t>
        </is>
      </c>
      <c r="E31" s="18" t="n">
        <v>284.3988</v>
      </c>
      <c r="F31" s="18" t="n">
        <v>0</v>
      </c>
      <c r="G31" s="18" t="n">
        <v>0</v>
      </c>
      <c r="H31" s="18" t="n">
        <v>0</v>
      </c>
      <c r="I31" s="18">
        <f>MAX(0, E31-F31)</f>
        <v/>
      </c>
      <c r="J31" s="18">
        <f>ABS(F31-E31)</f>
        <v/>
      </c>
      <c r="K31" s="19">
        <f>IF(E31&gt;0, F31/E31, IF(F31&gt;0, 1, 0))</f>
        <v/>
      </c>
      <c r="L31" s="37" t="inlineStr">
        <is>
          <t>Sin Pedido</t>
        </is>
      </c>
    </row>
    <row r="32">
      <c r="B32" s="27" t="inlineStr">
        <is>
          <t>COOP.AGRIC. SAN ISIDRO S.C.A.</t>
        </is>
      </c>
      <c r="C32" s="28" t="inlineStr">
        <is>
          <t>CPLUS0020</t>
        </is>
      </c>
      <c r="D32" s="27" t="inlineStr">
        <is>
          <t>CALCIPLUS, 20 L</t>
        </is>
      </c>
      <c r="E32" s="14" t="n">
        <v>606.7175</v>
      </c>
      <c r="F32" s="14" t="n">
        <v>0</v>
      </c>
      <c r="G32" s="14" t="n">
        <v>0</v>
      </c>
      <c r="H32" s="14" t="n">
        <v>0</v>
      </c>
      <c r="I32" s="14">
        <f>MAX(0, E32-F32)</f>
        <v/>
      </c>
      <c r="J32" s="14">
        <f>ABS(F32-E32)</f>
        <v/>
      </c>
      <c r="K32" s="15">
        <f>IF(E32&gt;0, F32/E32, IF(F32&gt;0, 1, 0))</f>
        <v/>
      </c>
      <c r="L32" s="36" t="inlineStr">
        <is>
          <t>Sin Pedido</t>
        </is>
      </c>
    </row>
    <row r="33">
      <c r="B33" s="30" t="inlineStr">
        <is>
          <t>COOP.AGRIC. SAN ISIDRO S.C.A.</t>
        </is>
      </c>
      <c r="C33" s="31" t="inlineStr">
        <is>
          <t>PIV0020</t>
        </is>
      </c>
      <c r="D33" s="30" t="inlineStr">
        <is>
          <t>PGR IV, 20 L</t>
        </is>
      </c>
      <c r="E33" s="18" t="n">
        <v>1213.4351</v>
      </c>
      <c r="F33" s="18" t="n">
        <v>0</v>
      </c>
      <c r="G33" s="18" t="n">
        <v>0</v>
      </c>
      <c r="H33" s="18" t="n">
        <v>0</v>
      </c>
      <c r="I33" s="18">
        <f>MAX(0, E33-F33)</f>
        <v/>
      </c>
      <c r="J33" s="18">
        <f>ABS(F33-E33)</f>
        <v/>
      </c>
      <c r="K33" s="19">
        <f>IF(E33&gt;0, F33/E33, IF(F33&gt;0, 1, 0))</f>
        <v/>
      </c>
      <c r="L33" s="37" t="inlineStr">
        <is>
          <t>Sin Pedido</t>
        </is>
      </c>
    </row>
    <row r="34">
      <c r="B34" s="27" t="inlineStr">
        <is>
          <t>GUIVARTO AGRICOLA, S.L.</t>
        </is>
      </c>
      <c r="C34" s="28" t="inlineStr">
        <is>
          <t>A-50(2)0005</t>
        </is>
      </c>
      <c r="D34" s="27" t="inlineStr">
        <is>
          <t>CODIORGAN A-50, 5 KG</t>
        </is>
      </c>
      <c r="E34" s="14" t="n">
        <v>94.7996</v>
      </c>
      <c r="F34" s="14" t="n">
        <v>0</v>
      </c>
      <c r="G34" s="14" t="n">
        <v>0</v>
      </c>
      <c r="H34" s="14" t="n">
        <v>0</v>
      </c>
      <c r="I34" s="14">
        <f>MAX(0, E34-F34)</f>
        <v/>
      </c>
      <c r="J34" s="14">
        <f>ABS(F34-E34)</f>
        <v/>
      </c>
      <c r="K34" s="15">
        <f>IF(E34&gt;0, F34/E34, IF(F34&gt;0, 1, 0))</f>
        <v/>
      </c>
      <c r="L34" s="36" t="inlineStr">
        <is>
          <t>Sin Pedido</t>
        </is>
      </c>
    </row>
    <row r="35">
      <c r="B35" s="30" t="inlineStr">
        <is>
          <t>GUIVARTO AGRICOLA, S.L.</t>
        </is>
      </c>
      <c r="C35" s="31" t="inlineStr">
        <is>
          <t>AGXK0020</t>
        </is>
      </c>
      <c r="D35" s="30" t="inlineStr">
        <is>
          <t>AGROXILATO-K, 20 L</t>
        </is>
      </c>
      <c r="E35" s="18" t="n">
        <v>1175.5152</v>
      </c>
      <c r="F35" s="18" t="n">
        <v>0</v>
      </c>
      <c r="G35" s="18" t="n">
        <v>0</v>
      </c>
      <c r="H35" s="18" t="n">
        <v>0</v>
      </c>
      <c r="I35" s="18">
        <f>MAX(0, E35-F35)</f>
        <v/>
      </c>
      <c r="J35" s="18">
        <f>ABS(F35-E35)</f>
        <v/>
      </c>
      <c r="K35" s="19">
        <f>IF(E35&gt;0, F35/E35, IF(F35&gt;0, 1, 0))</f>
        <v/>
      </c>
      <c r="L35" s="37" t="inlineStr">
        <is>
          <t>Sin Pedido</t>
        </is>
      </c>
    </row>
    <row r="36">
      <c r="B36" s="27" t="inlineStr">
        <is>
          <t>GUIVARTO AGRICOLA, S.L.</t>
        </is>
      </c>
      <c r="C36" s="28" t="inlineStr">
        <is>
          <t>AGXK1000</t>
        </is>
      </c>
      <c r="D36" s="27" t="inlineStr">
        <is>
          <t>AGROXILATO-K, 1000 L</t>
        </is>
      </c>
      <c r="E36" s="14" t="n">
        <v>0</v>
      </c>
      <c r="F36" s="14" t="n">
        <v>8000</v>
      </c>
      <c r="G36" s="14" t="n">
        <v>8000</v>
      </c>
      <c r="H36" s="14" t="n">
        <v>0</v>
      </c>
      <c r="I36" s="14">
        <f>MAX(0, E36-F36)</f>
        <v/>
      </c>
      <c r="J36" s="14">
        <f>ABS(F36-E36)</f>
        <v/>
      </c>
      <c r="K36" s="15">
        <f>IF(E36&gt;0, F36/E36, IF(F36&gt;0, 1, 0))</f>
        <v/>
      </c>
      <c r="L36" s="29" t="inlineStr">
        <is>
          <t>Extra Estimación</t>
        </is>
      </c>
    </row>
    <row r="37">
      <c r="B37" s="30" t="inlineStr">
        <is>
          <t>GUIVARTO AGRICOLA, S.L.</t>
        </is>
      </c>
      <c r="C37" s="31" t="inlineStr">
        <is>
          <t>AGZNP0005</t>
        </is>
      </c>
      <c r="D37" s="30" t="inlineStr">
        <is>
          <t>AGROXILATO-ZN PLUS, 5 KG</t>
        </is>
      </c>
      <c r="E37" s="18" t="n">
        <v>47.3998</v>
      </c>
      <c r="F37" s="18" t="n">
        <v>50</v>
      </c>
      <c r="G37" s="18" t="n">
        <v>50</v>
      </c>
      <c r="H37" s="18" t="n">
        <v>0</v>
      </c>
      <c r="I37" s="18">
        <f>MAX(0, E37-F37)</f>
        <v/>
      </c>
      <c r="J37" s="18">
        <f>ABS(F37-E37)</f>
        <v/>
      </c>
      <c r="K37" s="19">
        <f>IF(E37&gt;0, F37/E37, IF(F37&gt;0, 1, 0))</f>
        <v/>
      </c>
      <c r="L37" s="32" t="inlineStr">
        <is>
          <t>Superado</t>
        </is>
      </c>
    </row>
    <row r="38">
      <c r="B38" s="27" t="inlineStr">
        <is>
          <t>GUIVARTO AGRICOLA, S.L.</t>
        </is>
      </c>
      <c r="C38" s="28" t="inlineStr">
        <is>
          <t>AQUOM0005</t>
        </is>
      </c>
      <c r="D38" s="27" t="inlineStr">
        <is>
          <t>AQUOM, 5 L</t>
        </is>
      </c>
      <c r="E38" s="14" t="n">
        <v>189.5992</v>
      </c>
      <c r="F38" s="14" t="n">
        <v>200</v>
      </c>
      <c r="G38" s="14" t="n">
        <v>200</v>
      </c>
      <c r="H38" s="14" t="n">
        <v>0</v>
      </c>
      <c r="I38" s="14">
        <f>MAX(0, E38-F38)</f>
        <v/>
      </c>
      <c r="J38" s="14">
        <f>ABS(F38-E38)</f>
        <v/>
      </c>
      <c r="K38" s="15">
        <f>IF(E38&gt;0, F38/E38, IF(F38&gt;0, 1, 0))</f>
        <v/>
      </c>
      <c r="L38" s="29" t="inlineStr">
        <is>
          <t>Superado</t>
        </is>
      </c>
    </row>
    <row r="39">
      <c r="B39" s="30" t="inlineStr">
        <is>
          <t>GUIVARTO AGRICOLA, S.L.</t>
        </is>
      </c>
      <c r="C39" s="31" t="inlineStr">
        <is>
          <t>AVAN0020</t>
        </is>
      </c>
      <c r="D39" s="30" t="inlineStr">
        <is>
          <t>FLORAMEC AVANCE, 20 L</t>
        </is>
      </c>
      <c r="E39" s="18" t="n">
        <v>606.7175</v>
      </c>
      <c r="F39" s="18" t="n">
        <v>640</v>
      </c>
      <c r="G39" s="18" t="n">
        <v>640</v>
      </c>
      <c r="H39" s="18" t="n">
        <v>0</v>
      </c>
      <c r="I39" s="18">
        <f>MAX(0, E39-F39)</f>
        <v/>
      </c>
      <c r="J39" s="18">
        <f>ABS(F39-E39)</f>
        <v/>
      </c>
      <c r="K39" s="19">
        <f>IF(E39&gt;0, F39/E39, IF(F39&gt;0, 1, 0))</f>
        <v/>
      </c>
      <c r="L39" s="32" t="inlineStr">
        <is>
          <t>Superado</t>
        </is>
      </c>
    </row>
    <row r="40">
      <c r="B40" s="27" t="inlineStr">
        <is>
          <t>GUIVARTO AGRICOLA, S.L.</t>
        </is>
      </c>
      <c r="C40" s="28" t="inlineStr">
        <is>
          <t>BEY0020</t>
        </is>
      </c>
      <c r="D40" s="27" t="inlineStr">
        <is>
          <t>FLORAMEC PLUS 20 L</t>
        </is>
      </c>
      <c r="E40" s="14" t="n">
        <v>75.83969999999999</v>
      </c>
      <c r="F40" s="14" t="n">
        <v>80</v>
      </c>
      <c r="G40" s="14" t="n">
        <v>80</v>
      </c>
      <c r="H40" s="14" t="n">
        <v>0</v>
      </c>
      <c r="I40" s="14">
        <f>MAX(0, E40-F40)</f>
        <v/>
      </c>
      <c r="J40" s="14">
        <f>ABS(F40-E40)</f>
        <v/>
      </c>
      <c r="K40" s="15">
        <f>IF(E40&gt;0, F40/E40, IF(F40&gt;0, 1, 0))</f>
        <v/>
      </c>
      <c r="L40" s="29" t="inlineStr">
        <is>
          <t>Superado</t>
        </is>
      </c>
    </row>
    <row r="41">
      <c r="B41" s="30" t="inlineStr">
        <is>
          <t>GUIVARTO AGRICOLA, S.L.</t>
        </is>
      </c>
      <c r="C41" s="31" t="inlineStr">
        <is>
          <t>BROTA0005</t>
        </is>
      </c>
      <c r="D41" s="30" t="inlineStr">
        <is>
          <t>BROTAMEC, 5 L</t>
        </is>
      </c>
      <c r="E41" s="18" t="n">
        <v>568.7977</v>
      </c>
      <c r="F41" s="18" t="n">
        <v>600</v>
      </c>
      <c r="G41" s="18" t="n">
        <v>600</v>
      </c>
      <c r="H41" s="18" t="n">
        <v>0</v>
      </c>
      <c r="I41" s="18">
        <f>MAX(0, E41-F41)</f>
        <v/>
      </c>
      <c r="J41" s="18">
        <f>ABS(F41-E41)</f>
        <v/>
      </c>
      <c r="K41" s="19">
        <f>IF(E41&gt;0, F41/E41, IF(F41&gt;0, 1, 0))</f>
        <v/>
      </c>
      <c r="L41" s="32" t="inlineStr">
        <is>
          <t>Superado</t>
        </is>
      </c>
    </row>
    <row r="42">
      <c r="B42" s="27" t="inlineStr">
        <is>
          <t>GUIVARTO AGRICOLA, S.L.</t>
        </is>
      </c>
      <c r="C42" s="28" t="inlineStr">
        <is>
          <t>C-M-P0001</t>
        </is>
      </c>
      <c r="D42" s="27" t="inlineStr">
        <is>
          <t>CODIFOL Mo-PLUS, 1 L</t>
        </is>
      </c>
      <c r="E42" s="14" t="n">
        <v>34.1279</v>
      </c>
      <c r="F42" s="14" t="n">
        <v>0</v>
      </c>
      <c r="G42" s="14" t="n">
        <v>0</v>
      </c>
      <c r="H42" s="14" t="n">
        <v>0</v>
      </c>
      <c r="I42" s="14">
        <f>MAX(0, E42-F42)</f>
        <v/>
      </c>
      <c r="J42" s="14">
        <f>ABS(F42-E42)</f>
        <v/>
      </c>
      <c r="K42" s="15">
        <f>IF(E42&gt;0, F42/E42, IF(F42&gt;0, 1, 0))</f>
        <v/>
      </c>
      <c r="L42" s="36" t="inlineStr">
        <is>
          <t>Sin Pedido</t>
        </is>
      </c>
    </row>
    <row r="43">
      <c r="B43" s="30" t="inlineStr">
        <is>
          <t>GUIVARTO AGRICOLA, S.L.</t>
        </is>
      </c>
      <c r="C43" s="31" t="inlineStr">
        <is>
          <t>FTK0005</t>
        </is>
      </c>
      <c r="D43" s="30" t="inlineStr">
        <is>
          <t>FITOKONTROL CA FLOW, 5 KG</t>
        </is>
      </c>
      <c r="E43" s="18" t="n">
        <v>758.3969</v>
      </c>
      <c r="F43" s="18" t="n">
        <v>800</v>
      </c>
      <c r="G43" s="18" t="n">
        <v>800</v>
      </c>
      <c r="H43" s="18" t="n">
        <v>0</v>
      </c>
      <c r="I43" s="18">
        <f>MAX(0, E43-F43)</f>
        <v/>
      </c>
      <c r="J43" s="18">
        <f>ABS(F43-E43)</f>
        <v/>
      </c>
      <c r="K43" s="19">
        <f>IF(E43&gt;0, F43/E43, IF(F43&gt;0, 1, 0))</f>
        <v/>
      </c>
      <c r="L43" s="32" t="inlineStr">
        <is>
          <t>Superado</t>
        </is>
      </c>
    </row>
    <row r="44">
      <c r="B44" s="27" t="inlineStr">
        <is>
          <t>SUCA, S.C.A.</t>
        </is>
      </c>
      <c r="C44" s="28" t="inlineStr">
        <is>
          <t>AGXK0020</t>
        </is>
      </c>
      <c r="D44" s="27" t="inlineStr">
        <is>
          <t>AGROXILATO-K, 20 L</t>
        </is>
      </c>
      <c r="E44" s="14" t="n">
        <v>0</v>
      </c>
      <c r="F44" s="14" t="n">
        <v>640</v>
      </c>
      <c r="G44" s="14" t="n">
        <v>640</v>
      </c>
      <c r="H44" s="14" t="n">
        <v>0</v>
      </c>
      <c r="I44" s="14">
        <f>MAX(0, E44-F44)</f>
        <v/>
      </c>
      <c r="J44" s="14">
        <f>ABS(F44-E44)</f>
        <v/>
      </c>
      <c r="K44" s="15">
        <f>IF(E44&gt;0, F44/E44, IF(F44&gt;0, 1, 0))</f>
        <v/>
      </c>
      <c r="L44" s="29" t="inlineStr">
        <is>
          <t>Extra Estimación</t>
        </is>
      </c>
    </row>
    <row r="45">
      <c r="B45" s="30" t="inlineStr">
        <is>
          <t>SUCA, S.C.A.</t>
        </is>
      </c>
      <c r="C45" s="31" t="inlineStr">
        <is>
          <t>AVAN0020</t>
        </is>
      </c>
      <c r="D45" s="30" t="inlineStr">
        <is>
          <t>FLORAMEC AVANCE, 20 L</t>
        </is>
      </c>
      <c r="E45" s="18" t="n">
        <v>0</v>
      </c>
      <c r="F45" s="18" t="n">
        <v>200</v>
      </c>
      <c r="G45" s="18" t="n">
        <v>200</v>
      </c>
      <c r="H45" s="18" t="n">
        <v>0</v>
      </c>
      <c r="I45" s="18">
        <f>MAX(0, E45-F45)</f>
        <v/>
      </c>
      <c r="J45" s="18">
        <f>ABS(F45-E45)</f>
        <v/>
      </c>
      <c r="K45" s="19">
        <f>IF(E45&gt;0, F45/E45, IF(F45&gt;0, 1, 0))</f>
        <v/>
      </c>
      <c r="L45" s="32" t="inlineStr">
        <is>
          <t>Extra Estimación</t>
        </is>
      </c>
    </row>
    <row r="46" ht="24" customHeight="1">
      <c r="B46" s="20" t="inlineStr">
        <is>
          <t>TOTAL IRENE</t>
        </is>
      </c>
      <c r="C46" s="34" t="inlineStr">
        <is>
          <t>89 líneas</t>
        </is>
      </c>
      <c r="D46" s="35" t="inlineStr"/>
      <c r="E46" s="22">
        <f>SUM(E10:E45)</f>
        <v/>
      </c>
      <c r="F46" s="22">
        <f>SUM(F10:F45)</f>
        <v/>
      </c>
      <c r="G46" s="22">
        <f>SUM(G10:G45)</f>
        <v/>
      </c>
      <c r="H46" s="22">
        <f>SUM(H10:H45)</f>
        <v/>
      </c>
      <c r="I46" s="22">
        <f>SUM(I10:I45)</f>
        <v/>
      </c>
      <c r="J46" s="22">
        <f>SUM(J10:J45)</f>
        <v/>
      </c>
      <c r="K46" s="23">
        <f>IF(E46&gt;0, F46/E46, 0)</f>
        <v/>
      </c>
      <c r="L46" s="21">
        <f>IF(K46&gt;=1, "SUPERADO", "EN CURSO")</f>
        <v/>
      </c>
    </row>
  </sheetData>
  <mergeCells count="12">
    <mergeCell ref="D6:E6"/>
    <mergeCell ref="B6:C6"/>
    <mergeCell ref="H6:I6"/>
    <mergeCell ref="J5:K5"/>
    <mergeCell ref="J6:K6"/>
    <mergeCell ref="B5:C5"/>
    <mergeCell ref="F5:G5"/>
    <mergeCell ref="D5:E5"/>
    <mergeCell ref="B3:L3"/>
    <mergeCell ref="B2:L2"/>
    <mergeCell ref="F6:G6"/>
    <mergeCell ref="H5:I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5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28" customWidth="1" min="4" max="4"/>
    <col width="14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  <col width="14" customWidth="1" min="11" max="11"/>
    <col width="16" customWidth="1" min="12" max="12"/>
  </cols>
  <sheetData>
    <row r="2" ht="36" customHeight="1">
      <c r="B2" s="1" t="inlineStr">
        <is>
          <t>CODIAGRO - SEGUIMIENTO COMERCIAL: JAVIER (UNIDADES)</t>
        </is>
      </c>
    </row>
    <row r="3" ht="18" customHeight="1">
      <c r="B3" s="2" t="inlineStr">
        <is>
          <t>Seguimiento diario de Previsión Septiembre 2026 vs Pedidos a Fecha 30/09/2026</t>
        </is>
      </c>
    </row>
    <row r="5" ht="16" customHeight="1">
      <c r="B5" s="3" t="inlineStr">
        <is>
          <t>ESTIMACIÓN SEP (U)</t>
        </is>
      </c>
      <c r="C5" s="4" t="n"/>
      <c r="D5" s="5" t="inlineStr">
        <is>
          <t>PEDIDOS REALES (U)</t>
        </is>
      </c>
      <c r="E5" s="4" t="n"/>
      <c r="F5" s="5" t="inlineStr">
        <is>
          <t>% CONSECUCIÓN</t>
        </is>
      </c>
      <c r="G5" s="4" t="n"/>
      <c r="H5" s="5" t="inlineStr">
        <is>
          <t>FALTA CONSEGUIR (GAP)</t>
        </is>
      </c>
      <c r="I5" s="4" t="n"/>
      <c r="J5" s="3" t="inlineStr">
        <is>
          <t>PENDIENTES SERVIR (U)</t>
        </is>
      </c>
      <c r="K5" s="4" t="n"/>
    </row>
    <row r="6" ht="25" customHeight="1">
      <c r="B6" s="24" t="inlineStr">
        <is>
          <t>16,211 u</t>
        </is>
      </c>
      <c r="C6" s="4" t="n"/>
      <c r="D6" s="25" t="inlineStr">
        <is>
          <t>47,049 u</t>
        </is>
      </c>
      <c r="E6" s="4" t="n"/>
      <c r="F6" s="25" t="inlineStr">
        <is>
          <t>290.2%</t>
        </is>
      </c>
      <c r="G6" s="4" t="n"/>
      <c r="H6" s="25" t="inlineStr">
        <is>
          <t>0 u</t>
        </is>
      </c>
      <c r="I6" s="4" t="n"/>
      <c r="J6" s="24" t="inlineStr">
        <is>
          <t>4,530 u</t>
        </is>
      </c>
      <c r="K6" s="4" t="n"/>
    </row>
    <row r="8">
      <c r="B8" s="26" t="inlineStr">
        <is>
          <t>DETALLE COMPARATIVO POR CLIENTE Y ARTÍCULO - JAVIER (UNIDADES)</t>
        </is>
      </c>
    </row>
    <row r="9" ht="25" customHeight="1">
      <c r="B9" s="11" t="inlineStr">
        <is>
          <t>Cliente</t>
        </is>
      </c>
      <c r="C9" s="11" t="inlineStr">
        <is>
          <t>Cód. Artículo</t>
        </is>
      </c>
      <c r="D9" s="11" t="inlineStr">
        <is>
          <t>Descripción Artículo</t>
        </is>
      </c>
      <c r="E9" s="11" t="inlineStr">
        <is>
          <t>Estimación Sep (u)</t>
        </is>
      </c>
      <c r="F9" s="11" t="inlineStr">
        <is>
          <t>Pedidos Sep (u)</t>
        </is>
      </c>
      <c r="G9" s="11" t="inlineStr">
        <is>
          <t>Servidas (u)</t>
        </is>
      </c>
      <c r="H9" s="11" t="inlineStr">
        <is>
          <t>Pendientes (u)</t>
        </is>
      </c>
      <c r="I9" s="11" t="inlineStr">
        <is>
          <t>Falta (u)</t>
        </is>
      </c>
      <c r="J9" s="11" t="inlineStr">
        <is>
          <t>Desv. (u)</t>
        </is>
      </c>
      <c r="K9" s="11" t="inlineStr">
        <is>
          <t>% Consec.</t>
        </is>
      </c>
      <c r="L9" s="11" t="inlineStr">
        <is>
          <t>Estado</t>
        </is>
      </c>
    </row>
    <row r="10">
      <c r="B10" s="27" t="inlineStr">
        <is>
          <t>AGROQUIMICAS DRAGO S.L.</t>
        </is>
      </c>
      <c r="C10" s="28" t="inlineStr">
        <is>
          <t>AGXK0200</t>
        </is>
      </c>
      <c r="D10" s="27" t="inlineStr">
        <is>
          <t>AGROXILATO-K, 200 L</t>
        </is>
      </c>
      <c r="E10" s="14" t="n">
        <v>1516.7938</v>
      </c>
      <c r="F10" s="14" t="n">
        <v>3200</v>
      </c>
      <c r="G10" s="14" t="n">
        <v>3200</v>
      </c>
      <c r="H10" s="14" t="n">
        <v>0</v>
      </c>
      <c r="I10" s="14">
        <f>MAX(0, E10-F10)</f>
        <v/>
      </c>
      <c r="J10" s="14">
        <f>ABS(F10-E10)</f>
        <v/>
      </c>
      <c r="K10" s="15">
        <f>IF(E10&gt;0, F10/E10, IF(F10&gt;0, 1, 0))</f>
        <v/>
      </c>
      <c r="L10" s="29" t="inlineStr">
        <is>
          <t>Superado</t>
        </is>
      </c>
    </row>
    <row r="11">
      <c r="B11" s="30" t="inlineStr">
        <is>
          <t>AGROQUIMICAS DRAGO S.L.</t>
        </is>
      </c>
      <c r="C11" s="31" t="inlineStr">
        <is>
          <t>AGXK1000</t>
        </is>
      </c>
      <c r="D11" s="30" t="inlineStr">
        <is>
          <t>AGROXILATO-K, 1000 L</t>
        </is>
      </c>
      <c r="E11" s="18" t="n">
        <v>0</v>
      </c>
      <c r="F11" s="18" t="n">
        <v>1000</v>
      </c>
      <c r="G11" s="18" t="n">
        <v>1000</v>
      </c>
      <c r="H11" s="18" t="n">
        <v>0</v>
      </c>
      <c r="I11" s="18">
        <f>MAX(0, E11-F11)</f>
        <v/>
      </c>
      <c r="J11" s="18">
        <f>ABS(F11-E11)</f>
        <v/>
      </c>
      <c r="K11" s="19">
        <f>IF(E11&gt;0, F11/E11, IF(F11&gt;0, 1, 0))</f>
        <v/>
      </c>
      <c r="L11" s="32" t="inlineStr">
        <is>
          <t>Extra Estimación</t>
        </is>
      </c>
    </row>
    <row r="12">
      <c r="B12" s="27" t="inlineStr">
        <is>
          <t>AGROQUIMICAS DRAGO S.L.</t>
        </is>
      </c>
      <c r="C12" s="28" t="inlineStr">
        <is>
          <t>AN0020</t>
        </is>
      </c>
      <c r="D12" s="27" t="inlineStr">
        <is>
          <t>ALCAPLANT NEW, 20 KG</t>
        </is>
      </c>
      <c r="E12" s="14" t="n">
        <v>1042.7958</v>
      </c>
      <c r="F12" s="14" t="n">
        <v>1100</v>
      </c>
      <c r="G12" s="14" t="n">
        <v>1100</v>
      </c>
      <c r="H12" s="14" t="n">
        <v>0</v>
      </c>
      <c r="I12" s="14">
        <f>MAX(0, E12-F12)</f>
        <v/>
      </c>
      <c r="J12" s="14">
        <f>ABS(F12-E12)</f>
        <v/>
      </c>
      <c r="K12" s="15">
        <f>IF(E12&gt;0, F12/E12, IF(F12&gt;0, 1, 0))</f>
        <v/>
      </c>
      <c r="L12" s="29" t="inlineStr">
        <is>
          <t>Superado</t>
        </is>
      </c>
    </row>
    <row r="13">
      <c r="B13" s="30" t="inlineStr">
        <is>
          <t>AGROQUIMICAS DRAGO S.L.</t>
        </is>
      </c>
      <c r="C13" s="31" t="inlineStr">
        <is>
          <t>B0005</t>
        </is>
      </c>
      <c r="D13" s="30" t="inlineStr">
        <is>
          <t>BOROCAL, 5 L</t>
        </is>
      </c>
      <c r="E13" s="18" t="n">
        <v>0</v>
      </c>
      <c r="F13" s="18" t="n">
        <v>40</v>
      </c>
      <c r="G13" s="18" t="n">
        <v>40</v>
      </c>
      <c r="H13" s="18" t="n">
        <v>0</v>
      </c>
      <c r="I13" s="18">
        <f>MAX(0, E13-F13)</f>
        <v/>
      </c>
      <c r="J13" s="18">
        <f>ABS(F13-E13)</f>
        <v/>
      </c>
      <c r="K13" s="19">
        <f>IF(E13&gt;0, F13/E13, IF(F13&gt;0, 1, 0))</f>
        <v/>
      </c>
      <c r="L13" s="32" t="inlineStr">
        <is>
          <t>Extra Estimación</t>
        </is>
      </c>
    </row>
    <row r="14">
      <c r="B14" s="27" t="inlineStr">
        <is>
          <t>AGROQUIMICAS DRAGO S.L.</t>
        </is>
      </c>
      <c r="C14" s="28" t="inlineStr">
        <is>
          <t>B0020</t>
        </is>
      </c>
      <c r="D14" s="27" t="inlineStr">
        <is>
          <t>BOROCAL, 20 L</t>
        </is>
      </c>
      <c r="E14" s="14" t="n">
        <v>0</v>
      </c>
      <c r="F14" s="14" t="n">
        <v>100</v>
      </c>
      <c r="G14" s="14" t="n">
        <v>100</v>
      </c>
      <c r="H14" s="14" t="n">
        <v>0</v>
      </c>
      <c r="I14" s="14">
        <f>MAX(0, E14-F14)</f>
        <v/>
      </c>
      <c r="J14" s="14">
        <f>ABS(F14-E14)</f>
        <v/>
      </c>
      <c r="K14" s="15">
        <f>IF(E14&gt;0, F14/E14, IF(F14&gt;0, 1, 0))</f>
        <v/>
      </c>
      <c r="L14" s="29" t="inlineStr">
        <is>
          <t>Extra Estimación</t>
        </is>
      </c>
    </row>
    <row r="15">
      <c r="B15" s="30" t="inlineStr">
        <is>
          <t>AGROQUIMICAS DRAGO S.L.</t>
        </is>
      </c>
      <c r="C15" s="31" t="inlineStr">
        <is>
          <t>CALCIO0020</t>
        </is>
      </c>
      <c r="D15" s="30" t="inlineStr">
        <is>
          <t>CALCIAMEC, 20 KG</t>
        </is>
      </c>
      <c r="E15" s="18" t="n">
        <v>0</v>
      </c>
      <c r="F15" s="18" t="n">
        <v>60</v>
      </c>
      <c r="G15" s="18" t="n">
        <v>60</v>
      </c>
      <c r="H15" s="18" t="n">
        <v>0</v>
      </c>
      <c r="I15" s="18">
        <f>MAX(0, E15-F15)</f>
        <v/>
      </c>
      <c r="J15" s="18">
        <f>ABS(F15-E15)</f>
        <v/>
      </c>
      <c r="K15" s="19">
        <f>IF(E15&gt;0, F15/E15, IF(F15&gt;0, 1, 0))</f>
        <v/>
      </c>
      <c r="L15" s="32" t="inlineStr">
        <is>
          <t>Extra Estimación</t>
        </is>
      </c>
    </row>
    <row r="16">
      <c r="B16" s="27" t="inlineStr">
        <is>
          <t>AGROQUIMICAS DRAGO S.L.</t>
        </is>
      </c>
      <c r="C16" s="28" t="inlineStr">
        <is>
          <t>CM3M0005</t>
        </is>
      </c>
      <c r="D16" s="27" t="inlineStr">
        <is>
          <t>TENSOLINE-MAX, 5 L</t>
        </is>
      </c>
      <c r="E16" s="14" t="n">
        <v>0</v>
      </c>
      <c r="F16" s="14" t="n">
        <v>60</v>
      </c>
      <c r="G16" s="14" t="n">
        <v>60</v>
      </c>
      <c r="H16" s="14" t="n">
        <v>0</v>
      </c>
      <c r="I16" s="14">
        <f>MAX(0, E16-F16)</f>
        <v/>
      </c>
      <c r="J16" s="14">
        <f>ABS(F16-E16)</f>
        <v/>
      </c>
      <c r="K16" s="15">
        <f>IF(E16&gt;0, F16/E16, IF(F16&gt;0, 1, 0))</f>
        <v/>
      </c>
      <c r="L16" s="29" t="inlineStr">
        <is>
          <t>Extra Estimación</t>
        </is>
      </c>
    </row>
    <row r="17">
      <c r="B17" s="30" t="inlineStr">
        <is>
          <t>AGROQUIMICAS DRAGO S.L.</t>
        </is>
      </c>
      <c r="C17" s="31" t="inlineStr">
        <is>
          <t>CPLUS0020</t>
        </is>
      </c>
      <c r="D17" s="30" t="inlineStr">
        <is>
          <t>CALCIPLUS, 20 L</t>
        </is>
      </c>
      <c r="E17" s="18" t="n">
        <v>0</v>
      </c>
      <c r="F17" s="18" t="n">
        <v>200</v>
      </c>
      <c r="G17" s="18" t="n">
        <v>200</v>
      </c>
      <c r="H17" s="18" t="n">
        <v>0</v>
      </c>
      <c r="I17" s="18">
        <f>MAX(0, E17-F17)</f>
        <v/>
      </c>
      <c r="J17" s="18">
        <f>ABS(F17-E17)</f>
        <v/>
      </c>
      <c r="K17" s="19">
        <f>IF(E17&gt;0, F17/E17, IF(F17&gt;0, 1, 0))</f>
        <v/>
      </c>
      <c r="L17" s="32" t="inlineStr">
        <is>
          <t>Extra Estimación</t>
        </is>
      </c>
    </row>
    <row r="18">
      <c r="B18" s="27" t="inlineStr">
        <is>
          <t>AGROQUIMICAS DRAGO S.L.</t>
        </is>
      </c>
      <c r="C18" s="28" t="inlineStr">
        <is>
          <t>FTK0005</t>
        </is>
      </c>
      <c r="D18" s="27" t="inlineStr">
        <is>
          <t>FITOKONTROL CA FLOW, 5 KG</t>
        </is>
      </c>
      <c r="E18" s="14" t="n">
        <v>0</v>
      </c>
      <c r="F18" s="14" t="n">
        <v>40</v>
      </c>
      <c r="G18" s="14" t="n">
        <v>40</v>
      </c>
      <c r="H18" s="14" t="n">
        <v>0</v>
      </c>
      <c r="I18" s="14">
        <f>MAX(0, E18-F18)</f>
        <v/>
      </c>
      <c r="J18" s="14">
        <f>ABS(F18-E18)</f>
        <v/>
      </c>
      <c r="K18" s="15">
        <f>IF(E18&gt;0, F18/E18, IF(F18&gt;0, 1, 0))</f>
        <v/>
      </c>
      <c r="L18" s="29" t="inlineStr">
        <is>
          <t>Extra Estimación</t>
        </is>
      </c>
    </row>
    <row r="19">
      <c r="B19" s="30" t="inlineStr">
        <is>
          <t>AGROQUIMICAS DRAGO S.L.</t>
        </is>
      </c>
      <c r="C19" s="31" t="inlineStr">
        <is>
          <t>JF0020</t>
        </is>
      </c>
      <c r="D19" s="30" t="inlineStr">
        <is>
          <t>DRAGO-FOS, 20 L</t>
        </is>
      </c>
      <c r="E19" s="18" t="n">
        <v>0</v>
      </c>
      <c r="F19" s="18" t="n">
        <v>1280</v>
      </c>
      <c r="G19" s="18" t="n">
        <v>1280</v>
      </c>
      <c r="H19" s="18" t="n">
        <v>0</v>
      </c>
      <c r="I19" s="18">
        <f>MAX(0, E19-F19)</f>
        <v/>
      </c>
      <c r="J19" s="18">
        <f>ABS(F19-E19)</f>
        <v/>
      </c>
      <c r="K19" s="19">
        <f>IF(E19&gt;0, F19/E19, IF(F19&gt;0, 1, 0))</f>
        <v/>
      </c>
      <c r="L19" s="32" t="inlineStr">
        <is>
          <t>Extra Estimación</t>
        </is>
      </c>
    </row>
    <row r="20">
      <c r="B20" s="27" t="inlineStr">
        <is>
          <t>AGROQUIMICAS DRAGO S.L.</t>
        </is>
      </c>
      <c r="C20" s="28" t="inlineStr">
        <is>
          <t>PHD0005</t>
        </is>
      </c>
      <c r="D20" s="27" t="inlineStr">
        <is>
          <t>PH-DOWNER, 5 L</t>
        </is>
      </c>
      <c r="E20" s="14" t="n">
        <v>0</v>
      </c>
      <c r="F20" s="14" t="n">
        <v>40</v>
      </c>
      <c r="G20" s="14" t="n">
        <v>40</v>
      </c>
      <c r="H20" s="14" t="n">
        <v>0</v>
      </c>
      <c r="I20" s="14">
        <f>MAX(0, E20-F20)</f>
        <v/>
      </c>
      <c r="J20" s="14">
        <f>ABS(F20-E20)</f>
        <v/>
      </c>
      <c r="K20" s="15">
        <f>IF(E20&gt;0, F20/E20, IF(F20&gt;0, 1, 0))</f>
        <v/>
      </c>
      <c r="L20" s="29" t="inlineStr">
        <is>
          <t>Extra Estimación</t>
        </is>
      </c>
    </row>
    <row r="21">
      <c r="B21" s="30" t="inlineStr">
        <is>
          <t>AGROQUIMICAS DRAGO S.L.</t>
        </is>
      </c>
      <c r="C21" s="31" t="inlineStr">
        <is>
          <t>S0020</t>
        </is>
      </c>
      <c r="D21" s="30" t="inlineStr">
        <is>
          <t>SAL-WAX STAR, 20 L</t>
        </is>
      </c>
      <c r="E21" s="18" t="n">
        <v>0</v>
      </c>
      <c r="F21" s="18" t="n">
        <v>1280</v>
      </c>
      <c r="G21" s="18" t="n">
        <v>1280</v>
      </c>
      <c r="H21" s="18" t="n">
        <v>0</v>
      </c>
      <c r="I21" s="18">
        <f>MAX(0, E21-F21)</f>
        <v/>
      </c>
      <c r="J21" s="18">
        <f>ABS(F21-E21)</f>
        <v/>
      </c>
      <c r="K21" s="19">
        <f>IF(E21&gt;0, F21/E21, IF(F21&gt;0, 1, 0))</f>
        <v/>
      </c>
      <c r="L21" s="32" t="inlineStr">
        <is>
          <t>Extra Estimación</t>
        </is>
      </c>
    </row>
    <row r="22">
      <c r="B22" s="27" t="inlineStr">
        <is>
          <t>ALMENDRALIA IBÉRICA, S.L.U.</t>
        </is>
      </c>
      <c r="C22" s="28" t="inlineStr">
        <is>
          <t>AN0020</t>
        </is>
      </c>
      <c r="D22" s="27" t="inlineStr">
        <is>
          <t>ALCAPLANT NEW, 20 KG</t>
        </is>
      </c>
      <c r="E22" s="14" t="n">
        <v>0</v>
      </c>
      <c r="F22" s="14" t="n">
        <v>1100</v>
      </c>
      <c r="G22" s="14" t="n">
        <v>1100</v>
      </c>
      <c r="H22" s="14" t="n">
        <v>0</v>
      </c>
      <c r="I22" s="14">
        <f>MAX(0, E22-F22)</f>
        <v/>
      </c>
      <c r="J22" s="14">
        <f>ABS(F22-E22)</f>
        <v/>
      </c>
      <c r="K22" s="15">
        <f>IF(E22&gt;0, F22/E22, IF(F22&gt;0, 1, 0))</f>
        <v/>
      </c>
      <c r="L22" s="29" t="inlineStr">
        <is>
          <t>Extra Estimación</t>
        </is>
      </c>
    </row>
    <row r="23">
      <c r="B23" s="30" t="inlineStr">
        <is>
          <t>CABRERA MORALES FRANCISCO</t>
        </is>
      </c>
      <c r="C23" s="31" t="inlineStr">
        <is>
          <t>A-50(2)0005</t>
        </is>
      </c>
      <c r="D23" s="30" t="inlineStr">
        <is>
          <t>CODIORGAN A-50, 5 KG</t>
        </is>
      </c>
      <c r="E23" s="18" t="n">
        <v>0</v>
      </c>
      <c r="F23" s="18" t="n">
        <v>625</v>
      </c>
      <c r="G23" s="18" t="n">
        <v>375</v>
      </c>
      <c r="H23" s="18" t="n">
        <v>250</v>
      </c>
      <c r="I23" s="18">
        <f>MAX(0, E23-F23)</f>
        <v/>
      </c>
      <c r="J23" s="18">
        <f>ABS(F23-E23)</f>
        <v/>
      </c>
      <c r="K23" s="19">
        <f>IF(E23&gt;0, F23/E23, IF(F23&gt;0, 1, 0))</f>
        <v/>
      </c>
      <c r="L23" s="32" t="inlineStr">
        <is>
          <t>Extra Estimación</t>
        </is>
      </c>
    </row>
    <row r="24">
      <c r="B24" s="27" t="inlineStr">
        <is>
          <t>CABRERA MORALES FRANCISCO</t>
        </is>
      </c>
      <c r="C24" s="28" t="inlineStr">
        <is>
          <t>A-50(2)0020</t>
        </is>
      </c>
      <c r="D24" s="27" t="inlineStr">
        <is>
          <t>CODIORGAN A-50, 20 KG</t>
        </is>
      </c>
      <c r="E24" s="14" t="n">
        <v>0</v>
      </c>
      <c r="F24" s="14" t="n">
        <v>100</v>
      </c>
      <c r="G24" s="14" t="n">
        <v>0</v>
      </c>
      <c r="H24" s="14" t="n">
        <v>100</v>
      </c>
      <c r="I24" s="14">
        <f>MAX(0, E24-F24)</f>
        <v/>
      </c>
      <c r="J24" s="14">
        <f>ABS(F24-E24)</f>
        <v/>
      </c>
      <c r="K24" s="15">
        <f>IF(E24&gt;0, F24/E24, IF(F24&gt;0, 1, 0))</f>
        <v/>
      </c>
      <c r="L24" s="29" t="inlineStr">
        <is>
          <t>Extra Estimación</t>
        </is>
      </c>
    </row>
    <row r="25">
      <c r="B25" s="30" t="inlineStr">
        <is>
          <t>CABRERA MORALES FRANCISCO</t>
        </is>
      </c>
      <c r="C25" s="31" t="inlineStr">
        <is>
          <t>ANAE0005</t>
        </is>
      </c>
      <c r="D25" s="30" t="inlineStr">
        <is>
          <t>ALCAPLANT NEW AE, 5 KG</t>
        </is>
      </c>
      <c r="E25" s="18" t="n">
        <v>6256.7745</v>
      </c>
      <c r="F25" s="18" t="n">
        <v>6600</v>
      </c>
      <c r="G25" s="18" t="n">
        <v>4400</v>
      </c>
      <c r="H25" s="18" t="n">
        <v>2200</v>
      </c>
      <c r="I25" s="18">
        <f>MAX(0, E25-F25)</f>
        <v/>
      </c>
      <c r="J25" s="18">
        <f>ABS(F25-E25)</f>
        <v/>
      </c>
      <c r="K25" s="19">
        <f>IF(E25&gt;0, F25/E25, IF(F25&gt;0, 1, 0))</f>
        <v/>
      </c>
      <c r="L25" s="32" t="inlineStr">
        <is>
          <t>Superado</t>
        </is>
      </c>
    </row>
    <row r="26">
      <c r="B26" s="27" t="inlineStr">
        <is>
          <t>CABRERA MORALES FRANCISCO</t>
        </is>
      </c>
      <c r="C26" s="28" t="inlineStr">
        <is>
          <t>BIO0005</t>
        </is>
      </c>
      <c r="D26" s="27" t="inlineStr">
        <is>
          <t>BIORAD-20, 5L</t>
        </is>
      </c>
      <c r="E26" s="14" t="n">
        <v>0</v>
      </c>
      <c r="F26" s="14" t="n">
        <v>600</v>
      </c>
      <c r="G26" s="14" t="n">
        <v>600</v>
      </c>
      <c r="H26" s="14" t="n">
        <v>0</v>
      </c>
      <c r="I26" s="14">
        <f>MAX(0, E26-F26)</f>
        <v/>
      </c>
      <c r="J26" s="14">
        <f>ABS(F26-E26)</f>
        <v/>
      </c>
      <c r="K26" s="15">
        <f>IF(E26&gt;0, F26/E26, IF(F26&gt;0, 1, 0))</f>
        <v/>
      </c>
      <c r="L26" s="29" t="inlineStr">
        <is>
          <t>Extra Estimación</t>
        </is>
      </c>
    </row>
    <row r="27">
      <c r="B27" s="30" t="inlineStr">
        <is>
          <t>CABRERA MORALES FRANCISCO</t>
        </is>
      </c>
      <c r="C27" s="31" t="inlineStr">
        <is>
          <t>BIO0020</t>
        </is>
      </c>
      <c r="D27" s="30" t="inlineStr">
        <is>
          <t>BIORAD-20, 20 L</t>
        </is>
      </c>
      <c r="E27" s="18" t="n">
        <v>0</v>
      </c>
      <c r="F27" s="18" t="n">
        <v>1280</v>
      </c>
      <c r="G27" s="18" t="n">
        <v>1280</v>
      </c>
      <c r="H27" s="18" t="n">
        <v>0</v>
      </c>
      <c r="I27" s="18">
        <f>MAX(0, E27-F27)</f>
        <v/>
      </c>
      <c r="J27" s="18">
        <f>ABS(F27-E27)</f>
        <v/>
      </c>
      <c r="K27" s="19">
        <f>IF(E27&gt;0, F27/E27, IF(F27&gt;0, 1, 0))</f>
        <v/>
      </c>
      <c r="L27" s="32" t="inlineStr">
        <is>
          <t>Extra Estimación</t>
        </is>
      </c>
    </row>
    <row r="28">
      <c r="B28" s="27" t="inlineStr">
        <is>
          <t>CABRERA MORALES FRANCISCO</t>
        </is>
      </c>
      <c r="C28" s="28" t="inlineStr">
        <is>
          <t>C-L0005</t>
        </is>
      </c>
      <c r="D28" s="27" t="inlineStr">
        <is>
          <t>CODIBOR-L, 5 L</t>
        </is>
      </c>
      <c r="E28" s="14" t="n">
        <v>0</v>
      </c>
      <c r="F28" s="14" t="n">
        <v>400</v>
      </c>
      <c r="G28" s="14" t="n">
        <v>200</v>
      </c>
      <c r="H28" s="14" t="n">
        <v>200</v>
      </c>
      <c r="I28" s="14">
        <f>MAX(0, E28-F28)</f>
        <v/>
      </c>
      <c r="J28" s="14">
        <f>ABS(F28-E28)</f>
        <v/>
      </c>
      <c r="K28" s="15">
        <f>IF(E28&gt;0, F28/E28, IF(F28&gt;0, 1, 0))</f>
        <v/>
      </c>
      <c r="L28" s="29" t="inlineStr">
        <is>
          <t>Extra Estimación</t>
        </is>
      </c>
    </row>
    <row r="29">
      <c r="B29" s="30" t="inlineStr">
        <is>
          <t>CABRERA MORALES FRANCISCO</t>
        </is>
      </c>
      <c r="C29" s="31" t="inlineStr">
        <is>
          <t>PIV0005</t>
        </is>
      </c>
      <c r="D29" s="30" t="inlineStr">
        <is>
          <t>PGR IV, 5 L</t>
        </is>
      </c>
      <c r="E29" s="18" t="n">
        <v>0</v>
      </c>
      <c r="F29" s="18" t="n">
        <v>200</v>
      </c>
      <c r="G29" s="18" t="n">
        <v>0</v>
      </c>
      <c r="H29" s="18" t="n">
        <v>200</v>
      </c>
      <c r="I29" s="18">
        <f>MAX(0, E29-F29)</f>
        <v/>
      </c>
      <c r="J29" s="18">
        <f>ABS(F29-E29)</f>
        <v/>
      </c>
      <c r="K29" s="19">
        <f>IF(E29&gt;0, F29/E29, IF(F29&gt;0, 1, 0))</f>
        <v/>
      </c>
      <c r="L29" s="32" t="inlineStr">
        <is>
          <t>Extra Estimación</t>
        </is>
      </c>
    </row>
    <row r="30">
      <c r="B30" s="27" t="inlineStr">
        <is>
          <t>CABRERA MORALES FRANCISCO</t>
        </is>
      </c>
      <c r="C30" s="28" t="inlineStr">
        <is>
          <t>PIV0020</t>
        </is>
      </c>
      <c r="D30" s="27" t="inlineStr">
        <is>
          <t>PGR IV, 20 L</t>
        </is>
      </c>
      <c r="E30" s="14" t="n">
        <v>0</v>
      </c>
      <c r="F30" s="14" t="n">
        <v>200</v>
      </c>
      <c r="G30" s="14" t="n">
        <v>0</v>
      </c>
      <c r="H30" s="14" t="n">
        <v>200</v>
      </c>
      <c r="I30" s="14">
        <f>MAX(0, E30-F30)</f>
        <v/>
      </c>
      <c r="J30" s="14">
        <f>ABS(F30-E30)</f>
        <v/>
      </c>
      <c r="K30" s="15">
        <f>IF(E30&gt;0, F30/E30, IF(F30&gt;0, 1, 0))</f>
        <v/>
      </c>
      <c r="L30" s="29" t="inlineStr">
        <is>
          <t>Extra Estimación</t>
        </is>
      </c>
    </row>
    <row r="31">
      <c r="B31" s="30" t="inlineStr">
        <is>
          <t>CODIMED EXPORT, S.L.</t>
        </is>
      </c>
      <c r="C31" s="31" t="inlineStr">
        <is>
          <t>BIO0020</t>
        </is>
      </c>
      <c r="D31" s="30" t="inlineStr">
        <is>
          <t>BIORAD-20, 20 L</t>
        </is>
      </c>
      <c r="E31" s="18" t="n">
        <v>0</v>
      </c>
      <c r="F31" s="18" t="n">
        <v>640</v>
      </c>
      <c r="G31" s="18" t="n">
        <v>0</v>
      </c>
      <c r="H31" s="18" t="n">
        <v>640</v>
      </c>
      <c r="I31" s="18">
        <f>MAX(0, E31-F31)</f>
        <v/>
      </c>
      <c r="J31" s="18">
        <f>ABS(F31-E31)</f>
        <v/>
      </c>
      <c r="K31" s="19">
        <f>IF(E31&gt;0, F31/E31, IF(F31&gt;0, 1, 0))</f>
        <v/>
      </c>
      <c r="L31" s="32" t="inlineStr">
        <is>
          <t>Extra Estimación</t>
        </is>
      </c>
    </row>
    <row r="32">
      <c r="B32" s="27" t="inlineStr">
        <is>
          <t>CODIMED EXPORT, S.L.</t>
        </is>
      </c>
      <c r="C32" s="28" t="inlineStr">
        <is>
          <t>C-CU0020</t>
        </is>
      </c>
      <c r="D32" s="27" t="inlineStr">
        <is>
          <t>CODICOBRE, 20 L</t>
        </is>
      </c>
      <c r="E32" s="14" t="n">
        <v>0</v>
      </c>
      <c r="F32" s="14" t="n">
        <v>320</v>
      </c>
      <c r="G32" s="14" t="n">
        <v>0</v>
      </c>
      <c r="H32" s="14" t="n">
        <v>320</v>
      </c>
      <c r="I32" s="14">
        <f>MAX(0, E32-F32)</f>
        <v/>
      </c>
      <c r="J32" s="14">
        <f>ABS(F32-E32)</f>
        <v/>
      </c>
      <c r="K32" s="15">
        <f>IF(E32&gt;0, F32/E32, IF(F32&gt;0, 1, 0))</f>
        <v/>
      </c>
      <c r="L32" s="29" t="inlineStr">
        <is>
          <t>Extra Estimación</t>
        </is>
      </c>
    </row>
    <row r="33">
      <c r="B33" s="30" t="inlineStr">
        <is>
          <t>CODIMED EXPORT, S.L.</t>
        </is>
      </c>
      <c r="C33" s="31" t="inlineStr">
        <is>
          <t>C-L0005</t>
        </is>
      </c>
      <c r="D33" s="30" t="inlineStr">
        <is>
          <t>CODIBOR-L, 5 L</t>
        </is>
      </c>
      <c r="E33" s="18" t="n">
        <v>189.5992</v>
      </c>
      <c r="F33" s="18" t="n">
        <v>300</v>
      </c>
      <c r="G33" s="18" t="n">
        <v>200</v>
      </c>
      <c r="H33" s="18" t="n">
        <v>100</v>
      </c>
      <c r="I33" s="18">
        <f>MAX(0, E33-F33)</f>
        <v/>
      </c>
      <c r="J33" s="18">
        <f>ABS(F33-E33)</f>
        <v/>
      </c>
      <c r="K33" s="19">
        <f>IF(E33&gt;0, F33/E33, IF(F33&gt;0, 1, 0))</f>
        <v/>
      </c>
      <c r="L33" s="32" t="inlineStr">
        <is>
          <t>Superado</t>
        </is>
      </c>
    </row>
    <row r="34">
      <c r="B34" s="27" t="inlineStr">
        <is>
          <t>CODIMED EXPORT, S.L.</t>
        </is>
      </c>
      <c r="C34" s="28" t="inlineStr">
        <is>
          <t>C-L0020</t>
        </is>
      </c>
      <c r="D34" s="27" t="inlineStr">
        <is>
          <t>CODIBOR-L, 20 L</t>
        </is>
      </c>
      <c r="E34" s="14" t="n">
        <v>606.7175</v>
      </c>
      <c r="F34" s="14" t="n">
        <v>960</v>
      </c>
      <c r="G34" s="14" t="n">
        <v>640</v>
      </c>
      <c r="H34" s="14" t="n">
        <v>320</v>
      </c>
      <c r="I34" s="14">
        <f>MAX(0, E34-F34)</f>
        <v/>
      </c>
      <c r="J34" s="14">
        <f>ABS(F34-E34)</f>
        <v/>
      </c>
      <c r="K34" s="15">
        <f>IF(E34&gt;0, F34/E34, IF(F34&gt;0, 1, 0))</f>
        <v/>
      </c>
      <c r="L34" s="29" t="inlineStr">
        <is>
          <t>Superado</t>
        </is>
      </c>
    </row>
    <row r="35">
      <c r="B35" s="30" t="inlineStr">
        <is>
          <t>CODIMED EXPORT, S.L.</t>
        </is>
      </c>
      <c r="C35" s="31" t="inlineStr">
        <is>
          <t>PT0005</t>
        </is>
      </c>
      <c r="D35" s="30" t="inlineStr">
        <is>
          <t>AGROPOTASION, 5 L</t>
        </is>
      </c>
      <c r="E35" s="18" t="n">
        <v>0</v>
      </c>
      <c r="F35" s="18" t="n">
        <v>100</v>
      </c>
      <c r="G35" s="18" t="n">
        <v>100</v>
      </c>
      <c r="H35" s="18" t="n">
        <v>0</v>
      </c>
      <c r="I35" s="18">
        <f>MAX(0, E35-F35)</f>
        <v/>
      </c>
      <c r="J35" s="18">
        <f>ABS(F35-E35)</f>
        <v/>
      </c>
      <c r="K35" s="19">
        <f>IF(E35&gt;0, F35/E35, IF(F35&gt;0, 1, 0))</f>
        <v/>
      </c>
      <c r="L35" s="32" t="inlineStr">
        <is>
          <t>Extra Estimación</t>
        </is>
      </c>
    </row>
    <row r="36">
      <c r="B36" s="27" t="inlineStr">
        <is>
          <t>CODIMED EXPORT, S.L.</t>
        </is>
      </c>
      <c r="C36" s="28" t="inlineStr">
        <is>
          <t>PT0020</t>
        </is>
      </c>
      <c r="D36" s="27" t="inlineStr">
        <is>
          <t>AGROPOTASION, 20 L</t>
        </is>
      </c>
      <c r="E36" s="14" t="n">
        <v>0</v>
      </c>
      <c r="F36" s="14" t="n">
        <v>200</v>
      </c>
      <c r="G36" s="14" t="n">
        <v>200</v>
      </c>
      <c r="H36" s="14" t="n">
        <v>0</v>
      </c>
      <c r="I36" s="14">
        <f>MAX(0, E36-F36)</f>
        <v/>
      </c>
      <c r="J36" s="14">
        <f>ABS(F36-E36)</f>
        <v/>
      </c>
      <c r="K36" s="15">
        <f>IF(E36&gt;0, F36/E36, IF(F36&gt;0, 1, 0))</f>
        <v/>
      </c>
      <c r="L36" s="29" t="inlineStr">
        <is>
          <t>Extra Estimación</t>
        </is>
      </c>
    </row>
    <row r="37">
      <c r="B37" s="30" t="inlineStr">
        <is>
          <t>CODIMED EXPORT, S.L.</t>
        </is>
      </c>
      <c r="C37" s="31" t="inlineStr">
        <is>
          <t>SPCE2B0020</t>
        </is>
      </c>
      <c r="D37" s="30" t="inlineStr">
        <is>
          <t>SPRINTENE CON BORO, 20 L</t>
        </is>
      </c>
      <c r="E37" s="18" t="n">
        <v>0</v>
      </c>
      <c r="F37" s="18" t="n">
        <v>320</v>
      </c>
      <c r="G37" s="18" t="n">
        <v>320</v>
      </c>
      <c r="H37" s="18" t="n">
        <v>0</v>
      </c>
      <c r="I37" s="18">
        <f>MAX(0, E37-F37)</f>
        <v/>
      </c>
      <c r="J37" s="18">
        <f>ABS(F37-E37)</f>
        <v/>
      </c>
      <c r="K37" s="19">
        <f>IF(E37&gt;0, F37/E37, IF(F37&gt;0, 1, 0))</f>
        <v/>
      </c>
      <c r="L37" s="32" t="inlineStr">
        <is>
          <t>Extra Estimación</t>
        </is>
      </c>
    </row>
    <row r="38">
      <c r="B38" s="27" t="inlineStr">
        <is>
          <t>FINCA DOÑA ANA C.B.</t>
        </is>
      </c>
      <c r="C38" s="28" t="inlineStr">
        <is>
          <t>A-50(2)0020</t>
        </is>
      </c>
      <c r="D38" s="27" t="inlineStr">
        <is>
          <t>CODIORGAN-A50, 20 KG</t>
        </is>
      </c>
      <c r="E38" s="14" t="n">
        <v>0</v>
      </c>
      <c r="F38" s="14" t="n">
        <v>120</v>
      </c>
      <c r="G38" s="14" t="n">
        <v>120</v>
      </c>
      <c r="H38" s="14" t="n">
        <v>0</v>
      </c>
      <c r="I38" s="14">
        <f>MAX(0, E38-F38)</f>
        <v/>
      </c>
      <c r="J38" s="14">
        <f>ABS(F38-E38)</f>
        <v/>
      </c>
      <c r="K38" s="15">
        <f>IF(E38&gt;0, F38/E38, IF(F38&gt;0, 1, 0))</f>
        <v/>
      </c>
      <c r="L38" s="29" t="inlineStr">
        <is>
          <t>Extra Estimación</t>
        </is>
      </c>
    </row>
    <row r="39">
      <c r="B39" s="30" t="inlineStr">
        <is>
          <t>FINCA DOÑA ANA C.B.</t>
        </is>
      </c>
      <c r="C39" s="31" t="inlineStr">
        <is>
          <t>C-CU1000</t>
        </is>
      </c>
      <c r="D39" s="30" t="inlineStr">
        <is>
          <t>CODICOBRE, 1000 L</t>
        </is>
      </c>
      <c r="E39" s="18" t="n">
        <v>0</v>
      </c>
      <c r="F39" s="18" t="n">
        <v>1000</v>
      </c>
      <c r="G39" s="18" t="n">
        <v>1000</v>
      </c>
      <c r="H39" s="18" t="n">
        <v>0</v>
      </c>
      <c r="I39" s="18">
        <f>MAX(0, E39-F39)</f>
        <v/>
      </c>
      <c r="J39" s="18">
        <f>ABS(F39-E39)</f>
        <v/>
      </c>
      <c r="K39" s="19">
        <f>IF(E39&gt;0, F39/E39, IF(F39&gt;0, 1, 0))</f>
        <v/>
      </c>
      <c r="L39" s="32" t="inlineStr">
        <is>
          <t>Extra Estimación</t>
        </is>
      </c>
    </row>
    <row r="40">
      <c r="B40" s="27" t="inlineStr">
        <is>
          <t>FITOSANITARIOS CARCAIXENT, S.L.</t>
        </is>
      </c>
      <c r="C40" s="28" t="inlineStr">
        <is>
          <t>C-CU0005</t>
        </is>
      </c>
      <c r="D40" s="27" t="inlineStr">
        <is>
          <t>CODICOBRE, 5 L</t>
        </is>
      </c>
      <c r="E40" s="14" t="n">
        <v>0</v>
      </c>
      <c r="F40" s="14" t="n">
        <v>100</v>
      </c>
      <c r="G40" s="14" t="n">
        <v>100</v>
      </c>
      <c r="H40" s="14" t="n">
        <v>0</v>
      </c>
      <c r="I40" s="14">
        <f>MAX(0, E40-F40)</f>
        <v/>
      </c>
      <c r="J40" s="14">
        <f>ABS(F40-E40)</f>
        <v/>
      </c>
      <c r="K40" s="15">
        <f>IF(E40&gt;0, F40/E40, IF(F40&gt;0, 1, 0))</f>
        <v/>
      </c>
      <c r="L40" s="29" t="inlineStr">
        <is>
          <t>Extra Estimación</t>
        </is>
      </c>
    </row>
    <row r="41">
      <c r="B41" s="30" t="inlineStr">
        <is>
          <t>FITOSANITARIOS CARCAIXENT, S.L.</t>
        </is>
      </c>
      <c r="C41" s="31" t="inlineStr">
        <is>
          <t>G30020</t>
        </is>
      </c>
      <c r="D41" s="30" t="inlineStr">
        <is>
          <t>GREEN-UP, 20 L</t>
        </is>
      </c>
      <c r="E41" s="18" t="n">
        <v>0</v>
      </c>
      <c r="F41" s="18" t="n">
        <v>200</v>
      </c>
      <c r="G41" s="18" t="n">
        <v>200</v>
      </c>
      <c r="H41" s="18" t="n">
        <v>0</v>
      </c>
      <c r="I41" s="18">
        <f>MAX(0, E41-F41)</f>
        <v/>
      </c>
      <c r="J41" s="18">
        <f>ABS(F41-E41)</f>
        <v/>
      </c>
      <c r="K41" s="19">
        <f>IF(E41&gt;0, F41/E41, IF(F41&gt;0, 1, 0))</f>
        <v/>
      </c>
      <c r="L41" s="32" t="inlineStr">
        <is>
          <t>Extra Estimación</t>
        </is>
      </c>
    </row>
    <row r="42">
      <c r="B42" s="27" t="inlineStr">
        <is>
          <t>FITOSANITARIOS CARCAIXENT, S.L.</t>
        </is>
      </c>
      <c r="C42" s="28" t="inlineStr">
        <is>
          <t>HST0020</t>
        </is>
      </c>
      <c r="D42" s="27" t="inlineStr">
        <is>
          <t>HIDROSTRESS-40, 20 L</t>
        </is>
      </c>
      <c r="E42" s="14" t="n">
        <v>0</v>
      </c>
      <c r="F42" s="14" t="n">
        <v>100</v>
      </c>
      <c r="G42" s="14" t="n">
        <v>100</v>
      </c>
      <c r="H42" s="14" t="n">
        <v>0</v>
      </c>
      <c r="I42" s="14">
        <f>MAX(0, E42-F42)</f>
        <v/>
      </c>
      <c r="J42" s="14">
        <f>ABS(F42-E42)</f>
        <v/>
      </c>
      <c r="K42" s="15">
        <f>IF(E42&gt;0, F42/E42, IF(F42&gt;0, 1, 0))</f>
        <v/>
      </c>
      <c r="L42" s="29" t="inlineStr">
        <is>
          <t>Extra Estimación</t>
        </is>
      </c>
    </row>
    <row r="43">
      <c r="B43" s="30" t="inlineStr">
        <is>
          <t>FITOSANITARIOS CARCAIXENT, S.L.</t>
        </is>
      </c>
      <c r="C43" s="31" t="inlineStr">
        <is>
          <t>PT0005</t>
        </is>
      </c>
      <c r="D43" s="30" t="inlineStr">
        <is>
          <t>AGROPOTASION, 5 L</t>
        </is>
      </c>
      <c r="E43" s="18" t="n">
        <v>0</v>
      </c>
      <c r="F43" s="18" t="n">
        <v>600</v>
      </c>
      <c r="G43" s="18" t="n">
        <v>600</v>
      </c>
      <c r="H43" s="18" t="n">
        <v>0</v>
      </c>
      <c r="I43" s="18">
        <f>MAX(0, E43-F43)</f>
        <v/>
      </c>
      <c r="J43" s="18">
        <f>ABS(F43-E43)</f>
        <v/>
      </c>
      <c r="K43" s="19">
        <f>IF(E43&gt;0, F43/E43, IF(F43&gt;0, 1, 0))</f>
        <v/>
      </c>
      <c r="L43" s="32" t="inlineStr">
        <is>
          <t>Extra Estimación</t>
        </is>
      </c>
    </row>
    <row r="44">
      <c r="B44" s="27" t="inlineStr">
        <is>
          <t>FITOSANITARIOS CARCAIXENT, S.L.</t>
        </is>
      </c>
      <c r="C44" s="28" t="inlineStr">
        <is>
          <t>PT0020</t>
        </is>
      </c>
      <c r="D44" s="27" t="inlineStr">
        <is>
          <t>AGROPOTASION, 20 L</t>
        </is>
      </c>
      <c r="E44" s="14" t="n">
        <v>0</v>
      </c>
      <c r="F44" s="14" t="n">
        <v>1920</v>
      </c>
      <c r="G44" s="14" t="n">
        <v>1920</v>
      </c>
      <c r="H44" s="14" t="n">
        <v>0</v>
      </c>
      <c r="I44" s="14">
        <f>MAX(0, E44-F44)</f>
        <v/>
      </c>
      <c r="J44" s="14">
        <f>ABS(F44-E44)</f>
        <v/>
      </c>
      <c r="K44" s="15">
        <f>IF(E44&gt;0, F44/E44, IF(F44&gt;0, 1, 0))</f>
        <v/>
      </c>
      <c r="L44" s="29" t="inlineStr">
        <is>
          <t>Extra Estimación</t>
        </is>
      </c>
    </row>
    <row r="45">
      <c r="B45" s="30" t="inlineStr">
        <is>
          <t>FITOSANITARIOS DRAGO S.L.U</t>
        </is>
      </c>
      <c r="C45" s="31" t="inlineStr">
        <is>
          <t>AGXK0200</t>
        </is>
      </c>
      <c r="D45" s="30" t="inlineStr">
        <is>
          <t>AGROXILATO-K, 200 L</t>
        </is>
      </c>
      <c r="E45" s="18" t="n">
        <v>0</v>
      </c>
      <c r="F45" s="18" t="n">
        <v>1600</v>
      </c>
      <c r="G45" s="18" t="n">
        <v>1600</v>
      </c>
      <c r="H45" s="18" t="n">
        <v>0</v>
      </c>
      <c r="I45" s="18">
        <f>MAX(0, E45-F45)</f>
        <v/>
      </c>
      <c r="J45" s="18">
        <f>ABS(F45-E45)</f>
        <v/>
      </c>
      <c r="K45" s="19">
        <f>IF(E45&gt;0, F45/E45, IF(F45&gt;0, 1, 0))</f>
        <v/>
      </c>
      <c r="L45" s="32" t="inlineStr">
        <is>
          <t>Extra Estimación</t>
        </is>
      </c>
    </row>
    <row r="46">
      <c r="B46" s="27" t="inlineStr">
        <is>
          <t>FITOSANITARIOS DRAGO S.L.U</t>
        </is>
      </c>
      <c r="C46" s="28" t="inlineStr">
        <is>
          <t>AGXK1000</t>
        </is>
      </c>
      <c r="D46" s="27" t="inlineStr">
        <is>
          <t>AGROXILATO-K, 1000 L</t>
        </is>
      </c>
      <c r="E46" s="14" t="n">
        <v>0</v>
      </c>
      <c r="F46" s="14" t="n">
        <v>10000</v>
      </c>
      <c r="G46" s="14" t="n">
        <v>10000</v>
      </c>
      <c r="H46" s="14" t="n">
        <v>0</v>
      </c>
      <c r="I46" s="14">
        <f>MAX(0, E46-F46)</f>
        <v/>
      </c>
      <c r="J46" s="14">
        <f>ABS(F46-E46)</f>
        <v/>
      </c>
      <c r="K46" s="15">
        <f>IF(E46&gt;0, F46/E46, IF(F46&gt;0, 1, 0))</f>
        <v/>
      </c>
      <c r="L46" s="29" t="inlineStr">
        <is>
          <t>Extra Estimación</t>
        </is>
      </c>
    </row>
    <row r="47">
      <c r="B47" s="30" t="inlineStr">
        <is>
          <t>FITOSANITARIOS DRAGO S.L.U</t>
        </is>
      </c>
      <c r="C47" s="31" t="inlineStr">
        <is>
          <t>C-CU0001</t>
        </is>
      </c>
      <c r="D47" s="30" t="inlineStr">
        <is>
          <t>CODICOBRE, 1 L</t>
        </is>
      </c>
      <c r="E47" s="18" t="n">
        <v>0</v>
      </c>
      <c r="F47" s="18" t="n">
        <v>24</v>
      </c>
      <c r="G47" s="18" t="n">
        <v>24</v>
      </c>
      <c r="H47" s="18" t="n">
        <v>0</v>
      </c>
      <c r="I47" s="18">
        <f>MAX(0, E47-F47)</f>
        <v/>
      </c>
      <c r="J47" s="18">
        <f>ABS(F47-E47)</f>
        <v/>
      </c>
      <c r="K47" s="19">
        <f>IF(E47&gt;0, F47/E47, IF(F47&gt;0, 1, 0))</f>
        <v/>
      </c>
      <c r="L47" s="32" t="inlineStr">
        <is>
          <t>Extra Estimación</t>
        </is>
      </c>
    </row>
    <row r="48">
      <c r="B48" s="27" t="inlineStr">
        <is>
          <t>FITOSANITARIOS DRAGO S.L.U</t>
        </is>
      </c>
      <c r="C48" s="28" t="inlineStr">
        <is>
          <t>JF0020</t>
        </is>
      </c>
      <c r="D48" s="27" t="inlineStr">
        <is>
          <t>DRAGO-FOS, 20 L</t>
        </is>
      </c>
      <c r="E48" s="14" t="n">
        <v>0</v>
      </c>
      <c r="F48" s="14" t="n">
        <v>1280</v>
      </c>
      <c r="G48" s="14" t="n">
        <v>1280</v>
      </c>
      <c r="H48" s="14" t="n">
        <v>0</v>
      </c>
      <c r="I48" s="14">
        <f>MAX(0, E48-F48)</f>
        <v/>
      </c>
      <c r="J48" s="14">
        <f>ABS(F48-E48)</f>
        <v/>
      </c>
      <c r="K48" s="15">
        <f>IF(E48&gt;0, F48/E48, IF(F48&gt;0, 1, 0))</f>
        <v/>
      </c>
      <c r="L48" s="29" t="inlineStr">
        <is>
          <t>Extra Estimación</t>
        </is>
      </c>
    </row>
    <row r="49">
      <c r="B49" s="30" t="inlineStr">
        <is>
          <t>FITOSANITARIOS DRAGO S.L.U</t>
        </is>
      </c>
      <c r="C49" s="31" t="inlineStr">
        <is>
          <t>PHD0005</t>
        </is>
      </c>
      <c r="D49" s="30" t="inlineStr">
        <is>
          <t xml:space="preserve">PH-DOWNER, 5 L   </t>
        </is>
      </c>
      <c r="E49" s="18" t="n">
        <v>0</v>
      </c>
      <c r="F49" s="18" t="n">
        <v>400</v>
      </c>
      <c r="G49" s="18" t="n">
        <v>400</v>
      </c>
      <c r="H49" s="18" t="n">
        <v>0</v>
      </c>
      <c r="I49" s="18">
        <f>MAX(0, E49-F49)</f>
        <v/>
      </c>
      <c r="J49" s="18">
        <f>ABS(F49-E49)</f>
        <v/>
      </c>
      <c r="K49" s="19">
        <f>IF(E49&gt;0, F49/E49, IF(F49&gt;0, 1, 0))</f>
        <v/>
      </c>
      <c r="L49" s="32" t="inlineStr">
        <is>
          <t>Extra Estimación</t>
        </is>
      </c>
    </row>
    <row r="50">
      <c r="B50" s="27" t="inlineStr">
        <is>
          <t>FITOSANITARIOS DRAGO S.L.U</t>
        </is>
      </c>
      <c r="C50" s="28" t="inlineStr">
        <is>
          <t>PHD0020</t>
        </is>
      </c>
      <c r="D50" s="27" t="inlineStr">
        <is>
          <t>PH-DOWNER, 20 L</t>
        </is>
      </c>
      <c r="E50" s="14" t="n">
        <v>0</v>
      </c>
      <c r="F50" s="14" t="n">
        <v>640</v>
      </c>
      <c r="G50" s="14" t="n">
        <v>640</v>
      </c>
      <c r="H50" s="14" t="n">
        <v>0</v>
      </c>
      <c r="I50" s="14">
        <f>MAX(0, E50-F50)</f>
        <v/>
      </c>
      <c r="J50" s="14">
        <f>ABS(F50-E50)</f>
        <v/>
      </c>
      <c r="K50" s="15">
        <f>IF(E50&gt;0, F50/E50, IF(F50&gt;0, 1, 0))</f>
        <v/>
      </c>
      <c r="L50" s="29" t="inlineStr">
        <is>
          <t>Extra Estimación</t>
        </is>
      </c>
    </row>
    <row r="51">
      <c r="B51" s="30" t="inlineStr">
        <is>
          <t>FITOSANITARIOS DRAGO S.L.U</t>
        </is>
      </c>
      <c r="C51" s="31" t="inlineStr">
        <is>
          <t>S0200</t>
        </is>
      </c>
      <c r="D51" s="30" t="inlineStr">
        <is>
          <t>SAL-WAX STAR, 200 L</t>
        </is>
      </c>
      <c r="E51" s="18" t="n">
        <v>0</v>
      </c>
      <c r="F51" s="18" t="n">
        <v>800</v>
      </c>
      <c r="G51" s="18" t="n">
        <v>800</v>
      </c>
      <c r="H51" s="18" t="n">
        <v>0</v>
      </c>
      <c r="I51" s="18">
        <f>MAX(0, E51-F51)</f>
        <v/>
      </c>
      <c r="J51" s="18">
        <f>ABS(F51-E51)</f>
        <v/>
      </c>
      <c r="K51" s="19">
        <f>IF(E51&gt;0, F51/E51, IF(F51&gt;0, 1, 0))</f>
        <v/>
      </c>
      <c r="L51" s="32" t="inlineStr">
        <is>
          <t>Extra Estimación</t>
        </is>
      </c>
    </row>
    <row r="52">
      <c r="B52" s="27" t="inlineStr">
        <is>
          <t>FITOSANITARIOS DRAGO S.L.U</t>
        </is>
      </c>
      <c r="C52" s="28" t="inlineStr">
        <is>
          <t>SS0020</t>
        </is>
      </c>
      <c r="D52" s="27" t="inlineStr">
        <is>
          <t>SALWAX-CA, 20 KG</t>
        </is>
      </c>
      <c r="E52" s="14" t="n">
        <v>0</v>
      </c>
      <c r="F52" s="14" t="n">
        <v>40</v>
      </c>
      <c r="G52" s="14" t="n">
        <v>40</v>
      </c>
      <c r="H52" s="14" t="n">
        <v>0</v>
      </c>
      <c r="I52" s="14">
        <f>MAX(0, E52-F52)</f>
        <v/>
      </c>
      <c r="J52" s="14">
        <f>ABS(F52-E52)</f>
        <v/>
      </c>
      <c r="K52" s="15">
        <f>IF(E52&gt;0, F52/E52, IF(F52&gt;0, 1, 0))</f>
        <v/>
      </c>
      <c r="L52" s="29" t="inlineStr">
        <is>
          <t>Extra Estimación</t>
        </is>
      </c>
    </row>
    <row r="53">
      <c r="B53" s="30" t="inlineStr">
        <is>
          <t>FITOXENT S.C.L.V.</t>
        </is>
      </c>
      <c r="C53" s="31" t="inlineStr">
        <is>
          <t>FTK0005</t>
        </is>
      </c>
      <c r="D53" s="30" t="inlineStr">
        <is>
          <t>FITOKONTROL CA FLOW, 5 KG</t>
        </is>
      </c>
      <c r="E53" s="18" t="n">
        <v>4171.183</v>
      </c>
      <c r="F53" s="18" t="n">
        <v>4400</v>
      </c>
      <c r="G53" s="18" t="n">
        <v>4400</v>
      </c>
      <c r="H53" s="18" t="n">
        <v>0</v>
      </c>
      <c r="I53" s="18">
        <f>MAX(0, E53-F53)</f>
        <v/>
      </c>
      <c r="J53" s="18">
        <f>ABS(F53-E53)</f>
        <v/>
      </c>
      <c r="K53" s="19">
        <f>IF(E53&gt;0, F53/E53, IF(F53&gt;0, 1, 0))</f>
        <v/>
      </c>
      <c r="L53" s="32" t="inlineStr">
        <is>
          <t>Superado</t>
        </is>
      </c>
    </row>
    <row r="54">
      <c r="B54" s="27" t="inlineStr">
        <is>
          <t>FITOXENT S.C.L.V.</t>
        </is>
      </c>
      <c r="C54" s="28" t="inlineStr">
        <is>
          <t>PT0020</t>
        </is>
      </c>
      <c r="D54" s="27" t="inlineStr">
        <is>
          <t>AGROPOTASION, 20 L</t>
        </is>
      </c>
      <c r="E54" s="14" t="n">
        <v>2426.8701</v>
      </c>
      <c r="F54" s="14" t="n">
        <v>1280</v>
      </c>
      <c r="G54" s="14" t="n">
        <v>1280</v>
      </c>
      <c r="H54" s="14" t="n">
        <v>0</v>
      </c>
      <c r="I54" s="14">
        <f>MAX(0, E54-F54)</f>
        <v/>
      </c>
      <c r="J54" s="14">
        <f>ABS(F54-E54)</f>
        <v/>
      </c>
      <c r="K54" s="15">
        <f>IF(E54&gt;0, F54/E54, IF(F54&gt;0, 1, 0))</f>
        <v/>
      </c>
      <c r="L54" s="33" t="inlineStr">
        <is>
          <t>En Curso</t>
        </is>
      </c>
    </row>
    <row r="55">
      <c r="B55" s="30" t="inlineStr">
        <is>
          <t>FITOXENT S.C.L.V.</t>
        </is>
      </c>
      <c r="C55" s="31" t="inlineStr">
        <is>
          <t>S0020</t>
        </is>
      </c>
      <c r="D55" s="30" t="inlineStr">
        <is>
          <t>SALWAX STAR, 20 L</t>
        </is>
      </c>
      <c r="E55" s="18" t="n">
        <v>0</v>
      </c>
      <c r="F55" s="18" t="n">
        <v>200</v>
      </c>
      <c r="G55" s="18" t="n">
        <v>200</v>
      </c>
      <c r="H55" s="18" t="n">
        <v>0</v>
      </c>
      <c r="I55" s="18">
        <f>MAX(0, E55-F55)</f>
        <v/>
      </c>
      <c r="J55" s="18">
        <f>ABS(F55-E55)</f>
        <v/>
      </c>
      <c r="K55" s="19">
        <f>IF(E55&gt;0, F55/E55, IF(F55&gt;0, 1, 0))</f>
        <v/>
      </c>
      <c r="L55" s="32" t="inlineStr">
        <is>
          <t>Extra Estimación</t>
        </is>
      </c>
    </row>
    <row r="56" ht="24" customHeight="1">
      <c r="B56" s="20" t="inlineStr">
        <is>
          <t>TOTAL JAVIER</t>
        </is>
      </c>
      <c r="C56" s="34" t="inlineStr">
        <is>
          <t>186 líneas</t>
        </is>
      </c>
      <c r="D56" s="35" t="inlineStr"/>
      <c r="E56" s="22">
        <f>SUM(E10:E55)</f>
        <v/>
      </c>
      <c r="F56" s="22">
        <f>SUM(F10:F55)</f>
        <v/>
      </c>
      <c r="G56" s="22">
        <f>SUM(G10:G55)</f>
        <v/>
      </c>
      <c r="H56" s="22">
        <f>SUM(H10:H55)</f>
        <v/>
      </c>
      <c r="I56" s="22">
        <f>SUM(I10:I55)</f>
        <v/>
      </c>
      <c r="J56" s="22">
        <f>SUM(J10:J55)</f>
        <v/>
      </c>
      <c r="K56" s="23">
        <f>IF(E56&gt;0, F56/E56, 0)</f>
        <v/>
      </c>
      <c r="L56" s="21">
        <f>IF(K56&gt;=1, "SUPERADO", "EN CURSO")</f>
        <v/>
      </c>
    </row>
  </sheetData>
  <mergeCells count="12">
    <mergeCell ref="D6:E6"/>
    <mergeCell ref="B6:C6"/>
    <mergeCell ref="H6:I6"/>
    <mergeCell ref="J5:K5"/>
    <mergeCell ref="J6:K6"/>
    <mergeCell ref="B5:C5"/>
    <mergeCell ref="F5:G5"/>
    <mergeCell ref="D5:E5"/>
    <mergeCell ref="B3:L3"/>
    <mergeCell ref="B2:L2"/>
    <mergeCell ref="F6:G6"/>
    <mergeCell ref="H5:I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28" customWidth="1" min="4" max="4"/>
    <col width="14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  <col width="14" customWidth="1" min="11" max="11"/>
    <col width="16" customWidth="1" min="12" max="12"/>
  </cols>
  <sheetData>
    <row r="2" ht="36" customHeight="1">
      <c r="B2" s="1" t="inlineStr">
        <is>
          <t>CODIAGRO - SEGUIMIENTO COMERCIAL: MEHMET (UNIDADES)</t>
        </is>
      </c>
    </row>
    <row r="3" ht="18" customHeight="1">
      <c r="B3" s="2" t="inlineStr">
        <is>
          <t>Seguimiento diario de Previsión Septiembre 2026 vs Pedidos a Fecha 30/09/2026</t>
        </is>
      </c>
    </row>
    <row r="5" ht="16" customHeight="1">
      <c r="B5" s="3" t="inlineStr">
        <is>
          <t>ESTIMACIÓN SEP (U)</t>
        </is>
      </c>
      <c r="C5" s="4" t="n"/>
      <c r="D5" s="3" t="inlineStr">
        <is>
          <t>PEDIDOS REALES (U)</t>
        </is>
      </c>
      <c r="E5" s="4" t="n"/>
      <c r="F5" s="6" t="inlineStr">
        <is>
          <t>% CONSECUCIÓN</t>
        </is>
      </c>
      <c r="G5" s="4" t="n"/>
      <c r="H5" s="6" t="inlineStr">
        <is>
          <t>FALTA CONSEGUIR (GAP)</t>
        </is>
      </c>
      <c r="I5" s="4" t="n"/>
      <c r="J5" s="3" t="inlineStr">
        <is>
          <t>PENDIENTES SERVIR (U)</t>
        </is>
      </c>
      <c r="K5" s="4" t="n"/>
    </row>
    <row r="6" ht="25" customHeight="1">
      <c r="B6" s="24" t="inlineStr">
        <is>
          <t>37,408 u</t>
        </is>
      </c>
      <c r="C6" s="4" t="n"/>
      <c r="D6" s="24" t="inlineStr">
        <is>
          <t>32,728 u</t>
        </is>
      </c>
      <c r="E6" s="4" t="n"/>
      <c r="F6" s="40" t="inlineStr">
        <is>
          <t>87.5%</t>
        </is>
      </c>
      <c r="G6" s="4" t="n"/>
      <c r="H6" s="40" t="inlineStr">
        <is>
          <t>4,680 u</t>
        </is>
      </c>
      <c r="I6" s="4" t="n"/>
      <c r="J6" s="24" t="inlineStr">
        <is>
          <t>21,060 u</t>
        </is>
      </c>
      <c r="K6" s="4" t="n"/>
    </row>
    <row r="8">
      <c r="B8" s="26" t="inlineStr">
        <is>
          <t>DETALLE COMPARATIVO POR CLIENTE Y ARTÍCULO - MEHMET (UNIDADES)</t>
        </is>
      </c>
    </row>
    <row r="9" ht="25" customHeight="1">
      <c r="B9" s="11" t="inlineStr">
        <is>
          <t>Cliente</t>
        </is>
      </c>
      <c r="C9" s="11" t="inlineStr">
        <is>
          <t>Cód. Artículo</t>
        </is>
      </c>
      <c r="D9" s="11" t="inlineStr">
        <is>
          <t>Descripción Artículo</t>
        </is>
      </c>
      <c r="E9" s="11" t="inlineStr">
        <is>
          <t>Estimación Sep (u)</t>
        </is>
      </c>
      <c r="F9" s="11" t="inlineStr">
        <is>
          <t>Pedidos Sep (u)</t>
        </is>
      </c>
      <c r="G9" s="11" t="inlineStr">
        <is>
          <t>Servidas (u)</t>
        </is>
      </c>
      <c r="H9" s="11" t="inlineStr">
        <is>
          <t>Pendientes (u)</t>
        </is>
      </c>
      <c r="I9" s="11" t="inlineStr">
        <is>
          <t>Falta (u)</t>
        </is>
      </c>
      <c r="J9" s="11" t="inlineStr">
        <is>
          <t>Desv. (u)</t>
        </is>
      </c>
      <c r="K9" s="11" t="inlineStr">
        <is>
          <t>% Consec.</t>
        </is>
      </c>
      <c r="L9" s="11" t="inlineStr">
        <is>
          <t>Estado</t>
        </is>
      </c>
    </row>
    <row r="10">
      <c r="B10" s="27" t="inlineStr">
        <is>
          <t>ÇITAR ÇIÇEK TARIM TIC. LTD. STI</t>
        </is>
      </c>
      <c r="C10" s="28" t="inlineStr">
        <is>
          <t>AN0005</t>
        </is>
      </c>
      <c r="D10" s="27" t="inlineStr">
        <is>
          <t>ALCAPLANT NEW, 5 KG</t>
        </is>
      </c>
      <c r="E10" s="14" t="n">
        <v>5213.9788</v>
      </c>
      <c r="F10" s="14" t="n">
        <v>2200</v>
      </c>
      <c r="G10" s="14" t="n">
        <v>2200</v>
      </c>
      <c r="H10" s="14" t="n">
        <v>0</v>
      </c>
      <c r="I10" s="14">
        <f>MAX(0, E10-F10)</f>
        <v/>
      </c>
      <c r="J10" s="14">
        <f>ABS(F10-E10)</f>
        <v/>
      </c>
      <c r="K10" s="15">
        <f>IF(E10&gt;0, F10/E10, IF(F10&gt;0, 1, 0))</f>
        <v/>
      </c>
      <c r="L10" s="39" t="inlineStr">
        <is>
          <t>Rezagado</t>
        </is>
      </c>
    </row>
    <row r="11">
      <c r="B11" s="30" t="inlineStr">
        <is>
          <t>ÇITAR ÇIÇEK TARIM TIC. LTD. STI</t>
        </is>
      </c>
      <c r="C11" s="31" t="inlineStr">
        <is>
          <t>BIO0020</t>
        </is>
      </c>
      <c r="D11" s="30" t="inlineStr">
        <is>
          <t>BIORAD-20, 20 L</t>
        </is>
      </c>
      <c r="E11" s="18" t="n">
        <v>9479.9614</v>
      </c>
      <c r="F11" s="18" t="n">
        <v>10060</v>
      </c>
      <c r="G11" s="18" t="n">
        <v>0</v>
      </c>
      <c r="H11" s="18" t="n">
        <v>10060</v>
      </c>
      <c r="I11" s="18">
        <f>MAX(0, E11-F11)</f>
        <v/>
      </c>
      <c r="J11" s="18">
        <f>ABS(F11-E11)</f>
        <v/>
      </c>
      <c r="K11" s="19">
        <f>IF(E11&gt;0, F11/E11, IF(F11&gt;0, 1, 0))</f>
        <v/>
      </c>
      <c r="L11" s="32" t="inlineStr">
        <is>
          <t>Superado</t>
        </is>
      </c>
    </row>
    <row r="12">
      <c r="B12" s="27" t="inlineStr">
        <is>
          <t>ÇITAR ÇIÇEK TARIM TIC. LTD. STI</t>
        </is>
      </c>
      <c r="C12" s="28" t="inlineStr">
        <is>
          <t>BIO1000</t>
        </is>
      </c>
      <c r="D12" s="27" t="inlineStr">
        <is>
          <t>BIORAD-20, 1000 L</t>
        </is>
      </c>
      <c r="E12" s="14" t="n">
        <v>9479.9614</v>
      </c>
      <c r="F12" s="14" t="n">
        <v>11000</v>
      </c>
      <c r="G12" s="14" t="n">
        <v>0</v>
      </c>
      <c r="H12" s="14" t="n">
        <v>11000</v>
      </c>
      <c r="I12" s="14">
        <f>MAX(0, E12-F12)</f>
        <v/>
      </c>
      <c r="J12" s="14">
        <f>ABS(F12-E12)</f>
        <v/>
      </c>
      <c r="K12" s="15">
        <f>IF(E12&gt;0, F12/E12, IF(F12&gt;0, 1, 0))</f>
        <v/>
      </c>
      <c r="L12" s="29" t="inlineStr">
        <is>
          <t>Superado</t>
        </is>
      </c>
    </row>
    <row r="13">
      <c r="B13" s="30" t="inlineStr">
        <is>
          <t>ÇITAR ÇIÇEK TARIM TIC. LTD. STI</t>
        </is>
      </c>
      <c r="C13" s="31" t="inlineStr">
        <is>
          <t>C-CU1000</t>
        </is>
      </c>
      <c r="D13" s="30" t="inlineStr">
        <is>
          <t>CODICOBRE, 1000 L</t>
        </is>
      </c>
      <c r="E13" s="18" t="n">
        <v>1895.9923</v>
      </c>
      <c r="F13" s="18" t="n">
        <v>1000</v>
      </c>
      <c r="G13" s="18" t="n">
        <v>1000</v>
      </c>
      <c r="H13" s="18" t="n">
        <v>0</v>
      </c>
      <c r="I13" s="18">
        <f>MAX(0, E13-F13)</f>
        <v/>
      </c>
      <c r="J13" s="18">
        <f>ABS(F13-E13)</f>
        <v/>
      </c>
      <c r="K13" s="19">
        <f>IF(E13&gt;0, F13/E13, IF(F13&gt;0, 1, 0))</f>
        <v/>
      </c>
      <c r="L13" s="38" t="inlineStr">
        <is>
          <t>En Curso</t>
        </is>
      </c>
    </row>
    <row r="14">
      <c r="B14" s="27" t="inlineStr">
        <is>
          <t>ÇITAR ÇIÇEK TARIM TIC. LTD. STI</t>
        </is>
      </c>
      <c r="C14" s="28" t="inlineStr">
        <is>
          <t>FTK0005</t>
        </is>
      </c>
      <c r="D14" s="27" t="inlineStr">
        <is>
          <t>FITOKONTROL CA FLOW, 5 KG</t>
        </is>
      </c>
      <c r="E14" s="14" t="n">
        <v>9479.9614</v>
      </c>
      <c r="F14" s="14" t="n">
        <v>5500</v>
      </c>
      <c r="G14" s="14" t="n">
        <v>5500</v>
      </c>
      <c r="H14" s="14" t="n">
        <v>0</v>
      </c>
      <c r="I14" s="14">
        <f>MAX(0, E14-F14)</f>
        <v/>
      </c>
      <c r="J14" s="14">
        <f>ABS(F14-E14)</f>
        <v/>
      </c>
      <c r="K14" s="15">
        <f>IF(E14&gt;0, F14/E14, IF(F14&gt;0, 1, 0))</f>
        <v/>
      </c>
      <c r="L14" s="33" t="inlineStr">
        <is>
          <t>En Curso</t>
        </is>
      </c>
    </row>
    <row r="15">
      <c r="B15" s="30" t="inlineStr">
        <is>
          <t>ÇITAR ÇIÇEK TARIM TIC. LTD. STI</t>
        </is>
      </c>
      <c r="C15" s="31" t="inlineStr">
        <is>
          <t>FU1000</t>
        </is>
      </c>
      <c r="D15" s="30" t="inlineStr">
        <is>
          <t>FULVIGIN, 1000 L</t>
        </is>
      </c>
      <c r="E15" s="18" t="n">
        <v>0</v>
      </c>
      <c r="F15" s="18" t="n">
        <v>1000</v>
      </c>
      <c r="G15" s="18" t="n">
        <v>1000</v>
      </c>
      <c r="H15" s="18" t="n">
        <v>0</v>
      </c>
      <c r="I15" s="18">
        <f>MAX(0, E15-F15)</f>
        <v/>
      </c>
      <c r="J15" s="18">
        <f>ABS(F15-E15)</f>
        <v/>
      </c>
      <c r="K15" s="19">
        <f>IF(E15&gt;0, F15/E15, IF(F15&gt;0, 1, 0))</f>
        <v/>
      </c>
      <c r="L15" s="32" t="inlineStr">
        <is>
          <t>Extra Estimación</t>
        </is>
      </c>
    </row>
    <row r="16">
      <c r="B16" s="27" t="inlineStr">
        <is>
          <t>ÇITAR ÇIÇEK TARIM TIC. LTD. STI</t>
        </is>
      </c>
      <c r="C16" s="28" t="inlineStr">
        <is>
          <t>RUN0001</t>
        </is>
      </c>
      <c r="D16" s="27" t="inlineStr">
        <is>
          <t>RUN STRESS, 1 L</t>
        </is>
      </c>
      <c r="E16" s="14" t="n">
        <v>1858.0724</v>
      </c>
      <c r="F16" s="14" t="n">
        <v>1968</v>
      </c>
      <c r="G16" s="14" t="n">
        <v>1968</v>
      </c>
      <c r="H16" s="14" t="n">
        <v>0</v>
      </c>
      <c r="I16" s="14">
        <f>MAX(0, E16-F16)</f>
        <v/>
      </c>
      <c r="J16" s="14">
        <f>ABS(F16-E16)</f>
        <v/>
      </c>
      <c r="K16" s="15">
        <f>IF(E16&gt;0, F16/E16, IF(F16&gt;0, 1, 0))</f>
        <v/>
      </c>
      <c r="L16" s="29" t="inlineStr">
        <is>
          <t>Superado</t>
        </is>
      </c>
    </row>
    <row r="17" ht="24" customHeight="1">
      <c r="B17" s="20" t="inlineStr">
        <is>
          <t>TOTAL MEHMET</t>
        </is>
      </c>
      <c r="C17" s="34" t="inlineStr">
        <is>
          <t>61 líneas</t>
        </is>
      </c>
      <c r="D17" s="35" t="inlineStr"/>
      <c r="E17" s="22">
        <f>SUM(E10:E16)</f>
        <v/>
      </c>
      <c r="F17" s="22">
        <f>SUM(F10:F16)</f>
        <v/>
      </c>
      <c r="G17" s="22">
        <f>SUM(G10:G16)</f>
        <v/>
      </c>
      <c r="H17" s="22">
        <f>SUM(H10:H16)</f>
        <v/>
      </c>
      <c r="I17" s="22">
        <f>SUM(I10:I16)</f>
        <v/>
      </c>
      <c r="J17" s="22">
        <f>SUM(J10:J16)</f>
        <v/>
      </c>
      <c r="K17" s="23">
        <f>IF(E17&gt;0, F17/E17, 0)</f>
        <v/>
      </c>
      <c r="L17" s="21">
        <f>IF(K17&gt;=1, "SUPERADO", "EN CURSO")</f>
        <v/>
      </c>
    </row>
  </sheetData>
  <mergeCells count="12">
    <mergeCell ref="D6:E6"/>
    <mergeCell ref="B6:C6"/>
    <mergeCell ref="H6:I6"/>
    <mergeCell ref="J5:K5"/>
    <mergeCell ref="J6:K6"/>
    <mergeCell ref="B5:C5"/>
    <mergeCell ref="F5:G5"/>
    <mergeCell ref="D5:E5"/>
    <mergeCell ref="B3:L3"/>
    <mergeCell ref="B2:L2"/>
    <mergeCell ref="F6:G6"/>
    <mergeCell ref="H5:I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L33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28" customWidth="1" min="4" max="4"/>
    <col width="14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  <col width="14" customWidth="1" min="11" max="11"/>
    <col width="16" customWidth="1" min="12" max="12"/>
  </cols>
  <sheetData>
    <row r="2" ht="36" customHeight="1">
      <c r="B2" s="1" t="inlineStr">
        <is>
          <t>CODIAGRO - SEGUIMIENTO COMERCIAL: PEDRO (UNIDADES)</t>
        </is>
      </c>
    </row>
    <row r="3" ht="18" customHeight="1">
      <c r="B3" s="2" t="inlineStr">
        <is>
          <t>Seguimiento diario de Previsión Septiembre 2026 vs Pedidos a Fecha 30/09/2026</t>
        </is>
      </c>
    </row>
    <row r="5" ht="16" customHeight="1">
      <c r="B5" s="3" t="inlineStr">
        <is>
          <t>ESTIMACIÓN SEP (U)</t>
        </is>
      </c>
      <c r="C5" s="4" t="n"/>
      <c r="D5" s="3" t="inlineStr">
        <is>
          <t>PEDIDOS REALES (U)</t>
        </is>
      </c>
      <c r="E5" s="4" t="n"/>
      <c r="F5" s="6" t="inlineStr">
        <is>
          <t>% CONSECUCIÓN</t>
        </is>
      </c>
      <c r="G5" s="4" t="n"/>
      <c r="H5" s="6" t="inlineStr">
        <is>
          <t>FALTA CONSEGUIR (GAP)</t>
        </is>
      </c>
      <c r="I5" s="4" t="n"/>
      <c r="J5" s="3" t="inlineStr">
        <is>
          <t>PENDIENTES SERVIR (U)</t>
        </is>
      </c>
      <c r="K5" s="4" t="n"/>
    </row>
    <row r="6" ht="25" customHeight="1">
      <c r="B6" s="24" t="inlineStr">
        <is>
          <t>16,438 u</t>
        </is>
      </c>
      <c r="C6" s="4" t="n"/>
      <c r="D6" s="24" t="inlineStr">
        <is>
          <t>8,560 u</t>
        </is>
      </c>
      <c r="E6" s="4" t="n"/>
      <c r="F6" s="40" t="inlineStr">
        <is>
          <t>52.1%</t>
        </is>
      </c>
      <c r="G6" s="4" t="n"/>
      <c r="H6" s="40" t="inlineStr">
        <is>
          <t>7,878 u</t>
        </is>
      </c>
      <c r="I6" s="4" t="n"/>
      <c r="J6" s="24" t="inlineStr">
        <is>
          <t>0 u</t>
        </is>
      </c>
      <c r="K6" s="4" t="n"/>
    </row>
    <row r="8">
      <c r="B8" s="26" t="inlineStr">
        <is>
          <t>DETALLE COMPARATIVO POR CLIENTE Y ARTÍCULO - PEDRO (UNIDADES)</t>
        </is>
      </c>
    </row>
    <row r="9" ht="25" customHeight="1">
      <c r="B9" s="11" t="inlineStr">
        <is>
          <t>Cliente</t>
        </is>
      </c>
      <c r="C9" s="11" t="inlineStr">
        <is>
          <t>Cód. Artículo</t>
        </is>
      </c>
      <c r="D9" s="11" t="inlineStr">
        <is>
          <t>Descripción Artículo</t>
        </is>
      </c>
      <c r="E9" s="11" t="inlineStr">
        <is>
          <t>Estimación Sep (u)</t>
        </is>
      </c>
      <c r="F9" s="11" t="inlineStr">
        <is>
          <t>Pedidos Sep (u)</t>
        </is>
      </c>
      <c r="G9" s="11" t="inlineStr">
        <is>
          <t>Servidas (u)</t>
        </is>
      </c>
      <c r="H9" s="11" t="inlineStr">
        <is>
          <t>Pendientes (u)</t>
        </is>
      </c>
      <c r="I9" s="11" t="inlineStr">
        <is>
          <t>Falta (u)</t>
        </is>
      </c>
      <c r="J9" s="11" t="inlineStr">
        <is>
          <t>Desv. (u)</t>
        </is>
      </c>
      <c r="K9" s="11" t="inlineStr">
        <is>
          <t>% Consec.</t>
        </is>
      </c>
      <c r="L9" s="11" t="inlineStr">
        <is>
          <t>Estado</t>
        </is>
      </c>
    </row>
    <row r="10">
      <c r="B10" s="27" t="inlineStr">
        <is>
          <t>ASESORAMIENTO TECNICO DE CULTIVOS, S.L.</t>
        </is>
      </c>
      <c r="C10" s="28" t="inlineStr">
        <is>
          <t>AGXK0020</t>
        </is>
      </c>
      <c r="D10" s="27" t="inlineStr">
        <is>
          <t>AGROXILATO-K, 20 L</t>
        </is>
      </c>
      <c r="E10" s="14" t="n">
        <v>606.7175</v>
      </c>
      <c r="F10" s="14" t="n">
        <v>0</v>
      </c>
      <c r="G10" s="14" t="n">
        <v>0</v>
      </c>
      <c r="H10" s="14" t="n">
        <v>0</v>
      </c>
      <c r="I10" s="14">
        <f>MAX(0, E10-F10)</f>
        <v/>
      </c>
      <c r="J10" s="14">
        <f>ABS(F10-E10)</f>
        <v/>
      </c>
      <c r="K10" s="15">
        <f>IF(E10&gt;0, F10/E10, IF(F10&gt;0, 1, 0))</f>
        <v/>
      </c>
      <c r="L10" s="36" t="inlineStr">
        <is>
          <t>Sin Pedido</t>
        </is>
      </c>
    </row>
    <row r="11">
      <c r="B11" s="30" t="inlineStr">
        <is>
          <t>ASESORAMIENTO TECNICO DE CULTIVOS, S.L.</t>
        </is>
      </c>
      <c r="C11" s="31" t="inlineStr">
        <is>
          <t>B0005</t>
        </is>
      </c>
      <c r="D11" s="30" t="inlineStr">
        <is>
          <t>BOROCAL, 5 L</t>
        </is>
      </c>
      <c r="E11" s="18" t="n">
        <v>284.3988</v>
      </c>
      <c r="F11" s="18" t="n">
        <v>0</v>
      </c>
      <c r="G11" s="18" t="n">
        <v>0</v>
      </c>
      <c r="H11" s="18" t="n">
        <v>0</v>
      </c>
      <c r="I11" s="18">
        <f>MAX(0, E11-F11)</f>
        <v/>
      </c>
      <c r="J11" s="18">
        <f>ABS(F11-E11)</f>
        <v/>
      </c>
      <c r="K11" s="19">
        <f>IF(E11&gt;0, F11/E11, IF(F11&gt;0, 1, 0))</f>
        <v/>
      </c>
      <c r="L11" s="37" t="inlineStr">
        <is>
          <t>Sin Pedido</t>
        </is>
      </c>
    </row>
    <row r="12">
      <c r="B12" s="27" t="inlineStr">
        <is>
          <t>ASESORAMIENTO TECNICO DE CULTIVOS, S.L.</t>
        </is>
      </c>
      <c r="C12" s="28" t="inlineStr">
        <is>
          <t>B0020</t>
        </is>
      </c>
      <c r="D12" s="27" t="inlineStr">
        <is>
          <t>BOROCAL, 20 L</t>
        </is>
      </c>
      <c r="E12" s="14" t="n">
        <v>1213.4351</v>
      </c>
      <c r="F12" s="14" t="n">
        <v>0</v>
      </c>
      <c r="G12" s="14" t="n">
        <v>0</v>
      </c>
      <c r="H12" s="14" t="n">
        <v>0</v>
      </c>
      <c r="I12" s="14">
        <f>MAX(0, E12-F12)</f>
        <v/>
      </c>
      <c r="J12" s="14">
        <f>ABS(F12-E12)</f>
        <v/>
      </c>
      <c r="K12" s="15">
        <f>IF(E12&gt;0, F12/E12, IF(F12&gt;0, 1, 0))</f>
        <v/>
      </c>
      <c r="L12" s="36" t="inlineStr">
        <is>
          <t>Sin Pedido</t>
        </is>
      </c>
    </row>
    <row r="13">
      <c r="B13" s="30" t="inlineStr">
        <is>
          <t>ASESORAMIENTO TECNICO DE CULTIVOS, S.L.</t>
        </is>
      </c>
      <c r="C13" s="31" t="inlineStr">
        <is>
          <t>C-CU0020</t>
        </is>
      </c>
      <c r="D13" s="30" t="inlineStr">
        <is>
          <t>CODICOBRE, 20 L</t>
        </is>
      </c>
      <c r="E13" s="18" t="n">
        <v>1213.4351</v>
      </c>
      <c r="F13" s="18" t="n">
        <v>0</v>
      </c>
      <c r="G13" s="18" t="n">
        <v>0</v>
      </c>
      <c r="H13" s="18" t="n">
        <v>0</v>
      </c>
      <c r="I13" s="18">
        <f>MAX(0, E13-F13)</f>
        <v/>
      </c>
      <c r="J13" s="18">
        <f>ABS(F13-E13)</f>
        <v/>
      </c>
      <c r="K13" s="19">
        <f>IF(E13&gt;0, F13/E13, IF(F13&gt;0, 1, 0))</f>
        <v/>
      </c>
      <c r="L13" s="37" t="inlineStr">
        <is>
          <t>Sin Pedido</t>
        </is>
      </c>
    </row>
    <row r="14">
      <c r="B14" s="27" t="inlineStr">
        <is>
          <t>ASESORAMIENTO TECNICO DE CULTIVOS, S.L.</t>
        </is>
      </c>
      <c r="C14" s="28" t="inlineStr">
        <is>
          <t>PT0020</t>
        </is>
      </c>
      <c r="D14" s="27" t="inlineStr">
        <is>
          <t>AGROPOTASION, 20 L</t>
        </is>
      </c>
      <c r="E14" s="14" t="n">
        <v>2426.8701</v>
      </c>
      <c r="F14" s="14" t="n">
        <v>1920</v>
      </c>
      <c r="G14" s="14" t="n">
        <v>1920</v>
      </c>
      <c r="H14" s="14" t="n">
        <v>0</v>
      </c>
      <c r="I14" s="14">
        <f>MAX(0, E14-F14)</f>
        <v/>
      </c>
      <c r="J14" s="14">
        <f>ABS(F14-E14)</f>
        <v/>
      </c>
      <c r="K14" s="15">
        <f>IF(E14&gt;0, F14/E14, IF(F14&gt;0, 1, 0))</f>
        <v/>
      </c>
      <c r="L14" s="33" t="inlineStr">
        <is>
          <t>En Curso</t>
        </is>
      </c>
    </row>
    <row r="15">
      <c r="B15" s="30" t="inlineStr">
        <is>
          <t>COMERCIAL TÉCNICA FITOCARTHAGO, S.L.</t>
        </is>
      </c>
      <c r="C15" s="31" t="inlineStr">
        <is>
          <t>AGXK0200</t>
        </is>
      </c>
      <c r="D15" s="30" t="inlineStr">
        <is>
          <t>AGROXILATO-K, 200 L</t>
        </is>
      </c>
      <c r="E15" s="18" t="n">
        <v>379.1985</v>
      </c>
      <c r="F15" s="18" t="n">
        <v>0</v>
      </c>
      <c r="G15" s="18" t="n">
        <v>0</v>
      </c>
      <c r="H15" s="18" t="n">
        <v>0</v>
      </c>
      <c r="I15" s="18">
        <f>MAX(0, E15-F15)</f>
        <v/>
      </c>
      <c r="J15" s="18">
        <f>ABS(F15-E15)</f>
        <v/>
      </c>
      <c r="K15" s="19">
        <f>IF(E15&gt;0, F15/E15, IF(F15&gt;0, 1, 0))</f>
        <v/>
      </c>
      <c r="L15" s="37" t="inlineStr">
        <is>
          <t>Sin Pedido</t>
        </is>
      </c>
    </row>
    <row r="16">
      <c r="B16" s="27" t="inlineStr">
        <is>
          <t>COMERCIAL TÉCNICA FITOCARTHAGO, S.L.</t>
        </is>
      </c>
      <c r="C16" s="28" t="inlineStr">
        <is>
          <t>AGXK1000</t>
        </is>
      </c>
      <c r="D16" s="27" t="inlineStr">
        <is>
          <t>AGROXILATO-K, 1000 L</t>
        </is>
      </c>
      <c r="E16" s="14" t="n">
        <v>1895.9923</v>
      </c>
      <c r="F16" s="14" t="n">
        <v>0</v>
      </c>
      <c r="G16" s="14" t="n">
        <v>0</v>
      </c>
      <c r="H16" s="14" t="n">
        <v>0</v>
      </c>
      <c r="I16" s="14">
        <f>MAX(0, E16-F16)</f>
        <v/>
      </c>
      <c r="J16" s="14">
        <f>ABS(F16-E16)</f>
        <v/>
      </c>
      <c r="K16" s="15">
        <f>IF(E16&gt;0, F16/E16, IF(F16&gt;0, 1, 0))</f>
        <v/>
      </c>
      <c r="L16" s="36" t="inlineStr">
        <is>
          <t>Sin Pedido</t>
        </is>
      </c>
    </row>
    <row r="17">
      <c r="B17" s="30" t="inlineStr">
        <is>
          <t>COMERCIAL TÉCNICA FITOCARTHAGO, S.L.</t>
        </is>
      </c>
      <c r="C17" s="31" t="inlineStr">
        <is>
          <t>AN0020</t>
        </is>
      </c>
      <c r="D17" s="30" t="inlineStr">
        <is>
          <t>ALCAPLANT NEW, 20 KG</t>
        </is>
      </c>
      <c r="E17" s="18" t="n">
        <v>2085.5915</v>
      </c>
      <c r="F17" s="18" t="n">
        <v>2200</v>
      </c>
      <c r="G17" s="18" t="n">
        <v>2200</v>
      </c>
      <c r="H17" s="18" t="n">
        <v>0</v>
      </c>
      <c r="I17" s="18">
        <f>MAX(0, E17-F17)</f>
        <v/>
      </c>
      <c r="J17" s="18">
        <f>ABS(F17-E17)</f>
        <v/>
      </c>
      <c r="K17" s="19">
        <f>IF(E17&gt;0, F17/E17, IF(F17&gt;0, 1, 0))</f>
        <v/>
      </c>
      <c r="L17" s="32" t="inlineStr">
        <is>
          <t>Superado</t>
        </is>
      </c>
    </row>
    <row r="18">
      <c r="B18" s="27" t="inlineStr">
        <is>
          <t>COMERCIAL TÉCNICA FITOCARTHAGO, S.L.</t>
        </is>
      </c>
      <c r="C18" s="28" t="inlineStr">
        <is>
          <t>AQUOM0020</t>
        </is>
      </c>
      <c r="D18" s="27" t="inlineStr">
        <is>
          <t>AQUOM, 20 L</t>
        </is>
      </c>
      <c r="E18" s="14" t="n">
        <v>0</v>
      </c>
      <c r="F18" s="14" t="n">
        <v>200</v>
      </c>
      <c r="G18" s="14" t="n">
        <v>200</v>
      </c>
      <c r="H18" s="14" t="n">
        <v>0</v>
      </c>
      <c r="I18" s="14">
        <f>MAX(0, E18-F18)</f>
        <v/>
      </c>
      <c r="J18" s="14">
        <f>ABS(F18-E18)</f>
        <v/>
      </c>
      <c r="K18" s="15">
        <f>IF(E18&gt;0, F18/E18, IF(F18&gt;0, 1, 0))</f>
        <v/>
      </c>
      <c r="L18" s="29" t="inlineStr">
        <is>
          <t>Extra Estimación</t>
        </is>
      </c>
    </row>
    <row r="19">
      <c r="B19" s="30" t="inlineStr">
        <is>
          <t>COMERCIAL TÉCNICA FITOCARTHAGO, S.L.</t>
        </is>
      </c>
      <c r="C19" s="31" t="inlineStr">
        <is>
          <t>N0200</t>
        </is>
      </c>
      <c r="D19" s="30" t="inlineStr">
        <is>
          <t>NUTRICALE, 200 L</t>
        </is>
      </c>
      <c r="E19" s="18" t="n">
        <v>0</v>
      </c>
      <c r="F19" s="18" t="n">
        <v>200</v>
      </c>
      <c r="G19" s="18" t="n">
        <v>200</v>
      </c>
      <c r="H19" s="18" t="n">
        <v>0</v>
      </c>
      <c r="I19" s="18">
        <f>MAX(0, E19-F19)</f>
        <v/>
      </c>
      <c r="J19" s="18">
        <f>ABS(F19-E19)</f>
        <v/>
      </c>
      <c r="K19" s="19">
        <f>IF(E19&gt;0, F19/E19, IF(F19&gt;0, 1, 0))</f>
        <v/>
      </c>
      <c r="L19" s="32" t="inlineStr">
        <is>
          <t>Extra Estimación</t>
        </is>
      </c>
    </row>
    <row r="20">
      <c r="B20" s="27" t="inlineStr">
        <is>
          <t>COMERCIAL TÉCNICA FITOCARTHAGO, S.L.</t>
        </is>
      </c>
      <c r="C20" s="28" t="inlineStr">
        <is>
          <t>PT0200</t>
        </is>
      </c>
      <c r="D20" s="27" t="inlineStr">
        <is>
          <t>AGROPOTASION, 200 L</t>
        </is>
      </c>
      <c r="E20" s="14" t="n">
        <v>0</v>
      </c>
      <c r="F20" s="14" t="n">
        <v>600</v>
      </c>
      <c r="G20" s="14" t="n">
        <v>600</v>
      </c>
      <c r="H20" s="14" t="n">
        <v>0</v>
      </c>
      <c r="I20" s="14">
        <f>MAX(0, E20-F20)</f>
        <v/>
      </c>
      <c r="J20" s="14">
        <f>ABS(F20-E20)</f>
        <v/>
      </c>
      <c r="K20" s="15">
        <f>IF(E20&gt;0, F20/E20, IF(F20&gt;0, 1, 0))</f>
        <v/>
      </c>
      <c r="L20" s="29" t="inlineStr">
        <is>
          <t>Extra Estimación</t>
        </is>
      </c>
    </row>
    <row r="21">
      <c r="B21" s="30" t="inlineStr">
        <is>
          <t>COMERCIAL TÉCNICA FITOCARTHAGO, S.L.</t>
        </is>
      </c>
      <c r="C21" s="31" t="inlineStr">
        <is>
          <t>PT1000</t>
        </is>
      </c>
      <c r="D21" s="30" t="inlineStr">
        <is>
          <t>AGROPOTASION, 1000 L</t>
        </is>
      </c>
      <c r="E21" s="18" t="n">
        <v>0</v>
      </c>
      <c r="F21" s="18" t="n">
        <v>1000</v>
      </c>
      <c r="G21" s="18" t="n">
        <v>1000</v>
      </c>
      <c r="H21" s="18" t="n">
        <v>0</v>
      </c>
      <c r="I21" s="18">
        <f>MAX(0, E21-F21)</f>
        <v/>
      </c>
      <c r="J21" s="18">
        <f>ABS(F21-E21)</f>
        <v/>
      </c>
      <c r="K21" s="19">
        <f>IF(E21&gt;0, F21/E21, IF(F21&gt;0, 1, 0))</f>
        <v/>
      </c>
      <c r="L21" s="32" t="inlineStr">
        <is>
          <t>Extra Estimación</t>
        </is>
      </c>
    </row>
    <row r="22">
      <c r="B22" s="27" t="inlineStr">
        <is>
          <t>COMERCIAL TÉCNICA FITOCARTHAGO, S.L.</t>
        </is>
      </c>
      <c r="C22" s="28" t="inlineStr">
        <is>
          <t>S0020</t>
        </is>
      </c>
      <c r="D22" s="27" t="inlineStr">
        <is>
          <t>SAL-WAX STAR, 20 L</t>
        </is>
      </c>
      <c r="E22" s="14" t="n">
        <v>606.7175</v>
      </c>
      <c r="F22" s="14" t="n">
        <v>640</v>
      </c>
      <c r="G22" s="14" t="n">
        <v>640</v>
      </c>
      <c r="H22" s="14" t="n">
        <v>0</v>
      </c>
      <c r="I22" s="14">
        <f>MAX(0, E22-F22)</f>
        <v/>
      </c>
      <c r="J22" s="14">
        <f>ABS(F22-E22)</f>
        <v/>
      </c>
      <c r="K22" s="15">
        <f>IF(E22&gt;0, F22/E22, IF(F22&gt;0, 1, 0))</f>
        <v/>
      </c>
      <c r="L22" s="29" t="inlineStr">
        <is>
          <t>Superado</t>
        </is>
      </c>
    </row>
    <row r="23">
      <c r="B23" s="30" t="inlineStr">
        <is>
          <t>COMERCIAL TÉCNICA FITOCARTHAGO, S.L.</t>
        </is>
      </c>
      <c r="C23" s="31" t="inlineStr">
        <is>
          <t>S0200</t>
        </is>
      </c>
      <c r="D23" s="30" t="inlineStr">
        <is>
          <t>SAL-WAX STAR, 200 L</t>
        </is>
      </c>
      <c r="E23" s="18" t="n">
        <v>379.1985</v>
      </c>
      <c r="F23" s="18" t="n">
        <v>0</v>
      </c>
      <c r="G23" s="18" t="n">
        <v>0</v>
      </c>
      <c r="H23" s="18" t="n">
        <v>0</v>
      </c>
      <c r="I23" s="18">
        <f>MAX(0, E23-F23)</f>
        <v/>
      </c>
      <c r="J23" s="18">
        <f>ABS(F23-E23)</f>
        <v/>
      </c>
      <c r="K23" s="19">
        <f>IF(E23&gt;0, F23/E23, IF(F23&gt;0, 1, 0))</f>
        <v/>
      </c>
      <c r="L23" s="37" t="inlineStr">
        <is>
          <t>Sin Pedido</t>
        </is>
      </c>
    </row>
    <row r="24">
      <c r="B24" s="27" t="inlineStr">
        <is>
          <t>COMERCIAL TÉCNICA FITOCARTHAGO, S.L.</t>
        </is>
      </c>
      <c r="C24" s="28" t="inlineStr">
        <is>
          <t>S1000</t>
        </is>
      </c>
      <c r="D24" s="27" t="inlineStr">
        <is>
          <t>SAL-WAX STAR, 1000 L</t>
        </is>
      </c>
      <c r="E24" s="14" t="n">
        <v>4739.9807</v>
      </c>
      <c r="F24" s="14" t="n">
        <v>0</v>
      </c>
      <c r="G24" s="14" t="n">
        <v>0</v>
      </c>
      <c r="H24" s="14" t="n">
        <v>0</v>
      </c>
      <c r="I24" s="14">
        <f>MAX(0, E24-F24)</f>
        <v/>
      </c>
      <c r="J24" s="14">
        <f>ABS(F24-E24)</f>
        <v/>
      </c>
      <c r="K24" s="15">
        <f>IF(E24&gt;0, F24/E24, IF(F24&gt;0, 1, 0))</f>
        <v/>
      </c>
      <c r="L24" s="36" t="inlineStr">
        <is>
          <t>Sin Pedido</t>
        </is>
      </c>
    </row>
    <row r="25">
      <c r="B25" s="30" t="inlineStr">
        <is>
          <t>COMERCIAL TÉCNICA FITOCARTHAGO, S.L.</t>
        </is>
      </c>
      <c r="C25" s="31" t="inlineStr">
        <is>
          <t>SPCE2B0020</t>
        </is>
      </c>
      <c r="D25" s="30" t="inlineStr">
        <is>
          <t>SPRINTENE CON BORO, 20 L</t>
        </is>
      </c>
      <c r="E25" s="18" t="n">
        <v>606.7175</v>
      </c>
      <c r="F25" s="18" t="n">
        <v>0</v>
      </c>
      <c r="G25" s="18" t="n">
        <v>0</v>
      </c>
      <c r="H25" s="18" t="n">
        <v>0</v>
      </c>
      <c r="I25" s="18">
        <f>MAX(0, E25-F25)</f>
        <v/>
      </c>
      <c r="J25" s="18">
        <f>ABS(F25-E25)</f>
        <v/>
      </c>
      <c r="K25" s="19">
        <f>IF(E25&gt;0, F25/E25, IF(F25&gt;0, 1, 0))</f>
        <v/>
      </c>
      <c r="L25" s="37" t="inlineStr">
        <is>
          <t>Sin Pedido</t>
        </is>
      </c>
    </row>
    <row r="26">
      <c r="B26" s="27" t="inlineStr">
        <is>
          <t>COMERCIAL TÉCNICA FITOCARTHAGO, S.L.</t>
        </is>
      </c>
      <c r="C26" s="28" t="inlineStr">
        <is>
          <t>SS0020</t>
        </is>
      </c>
      <c r="D26" s="27" t="inlineStr">
        <is>
          <t>SAL-WAX-Ca sólido, 20 KG</t>
        </is>
      </c>
      <c r="E26" s="14" t="n">
        <v>0</v>
      </c>
      <c r="F26" s="14" t="n">
        <v>400</v>
      </c>
      <c r="G26" s="14" t="n">
        <v>400</v>
      </c>
      <c r="H26" s="14" t="n">
        <v>0</v>
      </c>
      <c r="I26" s="14">
        <f>MAX(0, E26-F26)</f>
        <v/>
      </c>
      <c r="J26" s="14">
        <f>ABS(F26-E26)</f>
        <v/>
      </c>
      <c r="K26" s="15">
        <f>IF(E26&gt;0, F26/E26, IF(F26&gt;0, 1, 0))</f>
        <v/>
      </c>
      <c r="L26" s="29" t="inlineStr">
        <is>
          <t>Extra Estimación</t>
        </is>
      </c>
    </row>
    <row r="27">
      <c r="B27" s="30" t="inlineStr">
        <is>
          <t>FITOMURCIA S.L.</t>
        </is>
      </c>
      <c r="C27" s="31" t="inlineStr">
        <is>
          <t>AGZNP0005</t>
        </is>
      </c>
      <c r="D27" s="30" t="inlineStr">
        <is>
          <t>AGROXILATO-ZN PLUS, 5 KG</t>
        </is>
      </c>
      <c r="E27" s="18" t="n">
        <v>0</v>
      </c>
      <c r="F27" s="18" t="n">
        <v>200</v>
      </c>
      <c r="G27" s="18" t="n">
        <v>200</v>
      </c>
      <c r="H27" s="18" t="n">
        <v>0</v>
      </c>
      <c r="I27" s="18">
        <f>MAX(0, E27-F27)</f>
        <v/>
      </c>
      <c r="J27" s="18">
        <f>ABS(F27-E27)</f>
        <v/>
      </c>
      <c r="K27" s="19">
        <f>IF(E27&gt;0, F27/E27, IF(F27&gt;0, 1, 0))</f>
        <v/>
      </c>
      <c r="L27" s="32" t="inlineStr">
        <is>
          <t>Extra Estimación</t>
        </is>
      </c>
    </row>
    <row r="28">
      <c r="B28" s="27" t="inlineStr">
        <is>
          <t>FITOMURCIA S.L.</t>
        </is>
      </c>
      <c r="C28" s="28" t="inlineStr">
        <is>
          <t>C-L0020</t>
        </is>
      </c>
      <c r="D28" s="27" t="inlineStr">
        <is>
          <t>CODIBOR-L, 20 L</t>
        </is>
      </c>
      <c r="E28" s="14" t="n">
        <v>0</v>
      </c>
      <c r="F28" s="14" t="n">
        <v>320</v>
      </c>
      <c r="G28" s="14" t="n">
        <v>320</v>
      </c>
      <c r="H28" s="14" t="n">
        <v>0</v>
      </c>
      <c r="I28" s="14">
        <f>MAX(0, E28-F28)</f>
        <v/>
      </c>
      <c r="J28" s="14">
        <f>ABS(F28-E28)</f>
        <v/>
      </c>
      <c r="K28" s="15">
        <f>IF(E28&gt;0, F28/E28, IF(F28&gt;0, 1, 0))</f>
        <v/>
      </c>
      <c r="L28" s="29" t="inlineStr">
        <is>
          <t>Extra Estimación</t>
        </is>
      </c>
    </row>
    <row r="29">
      <c r="B29" s="30" t="inlineStr">
        <is>
          <t>FITOMURCIA S.L.</t>
        </is>
      </c>
      <c r="C29" s="31" t="inlineStr">
        <is>
          <t>C-MB0005</t>
        </is>
      </c>
      <c r="D29" s="30" t="inlineStr">
        <is>
          <t>CODIFOL-MB, 5 L</t>
        </is>
      </c>
      <c r="E29" s="18" t="n">
        <v>0</v>
      </c>
      <c r="F29" s="18" t="n">
        <v>60</v>
      </c>
      <c r="G29" s="18" t="n">
        <v>60</v>
      </c>
      <c r="H29" s="18" t="n">
        <v>0</v>
      </c>
      <c r="I29" s="18">
        <f>MAX(0, E29-F29)</f>
        <v/>
      </c>
      <c r="J29" s="18">
        <f>ABS(F29-E29)</f>
        <v/>
      </c>
      <c r="K29" s="19">
        <f>IF(E29&gt;0, F29/E29, IF(F29&gt;0, 1, 0))</f>
        <v/>
      </c>
      <c r="L29" s="32" t="inlineStr">
        <is>
          <t>Extra Estimación</t>
        </is>
      </c>
    </row>
    <row r="30">
      <c r="B30" s="27" t="inlineStr">
        <is>
          <t>FITOMURCIA S.L.</t>
        </is>
      </c>
      <c r="C30" s="28" t="inlineStr">
        <is>
          <t>C-MB0020</t>
        </is>
      </c>
      <c r="D30" s="27" t="inlineStr">
        <is>
          <t>CODIFOL-MB, 20 L</t>
        </is>
      </c>
      <c r="E30" s="14" t="n">
        <v>0</v>
      </c>
      <c r="F30" s="14" t="n">
        <v>320</v>
      </c>
      <c r="G30" s="14" t="n">
        <v>320</v>
      </c>
      <c r="H30" s="14" t="n">
        <v>0</v>
      </c>
      <c r="I30" s="14">
        <f>MAX(0, E30-F30)</f>
        <v/>
      </c>
      <c r="J30" s="14">
        <f>ABS(F30-E30)</f>
        <v/>
      </c>
      <c r="K30" s="15">
        <f>IF(E30&gt;0, F30/E30, IF(F30&gt;0, 1, 0))</f>
        <v/>
      </c>
      <c r="L30" s="29" t="inlineStr">
        <is>
          <t>Extra Estimación</t>
        </is>
      </c>
    </row>
    <row r="31">
      <c r="B31" s="30" t="inlineStr">
        <is>
          <t>FITOMURCIA S.L.</t>
        </is>
      </c>
      <c r="C31" s="31" t="inlineStr">
        <is>
          <t>SPCE2B0020</t>
        </is>
      </c>
      <c r="D31" s="30" t="inlineStr">
        <is>
          <t>SPRINTENE CON BORO, 20 L</t>
        </is>
      </c>
      <c r="E31" s="18" t="n">
        <v>0</v>
      </c>
      <c r="F31" s="18" t="n">
        <v>200</v>
      </c>
      <c r="G31" s="18" t="n">
        <v>200</v>
      </c>
      <c r="H31" s="18" t="n">
        <v>0</v>
      </c>
      <c r="I31" s="18">
        <f>MAX(0, E31-F31)</f>
        <v/>
      </c>
      <c r="J31" s="18">
        <f>ABS(F31-E31)</f>
        <v/>
      </c>
      <c r="K31" s="19">
        <f>IF(E31&gt;0, F31/E31, IF(F31&gt;0, 1, 0))</f>
        <v/>
      </c>
      <c r="L31" s="32" t="inlineStr">
        <is>
          <t>Extra Estimación</t>
        </is>
      </c>
    </row>
    <row r="32">
      <c r="B32" s="27" t="inlineStr">
        <is>
          <t>FITOMURCIA S.L.</t>
        </is>
      </c>
      <c r="C32" s="28" t="inlineStr">
        <is>
          <t>SS0005</t>
        </is>
      </c>
      <c r="D32" s="27" t="inlineStr">
        <is>
          <t>SAL-WAX-Ca sólido, 5 KG</t>
        </is>
      </c>
      <c r="E32" s="14" t="n">
        <v>0</v>
      </c>
      <c r="F32" s="14" t="n">
        <v>300</v>
      </c>
      <c r="G32" s="14" t="n">
        <v>300</v>
      </c>
      <c r="H32" s="14" t="n">
        <v>0</v>
      </c>
      <c r="I32" s="14">
        <f>MAX(0, E32-F32)</f>
        <v/>
      </c>
      <c r="J32" s="14">
        <f>ABS(F32-E32)</f>
        <v/>
      </c>
      <c r="K32" s="15">
        <f>IF(E32&gt;0, F32/E32, IF(F32&gt;0, 1, 0))</f>
        <v/>
      </c>
      <c r="L32" s="29" t="inlineStr">
        <is>
          <t>Extra Estimación</t>
        </is>
      </c>
    </row>
    <row r="33" ht="24" customHeight="1">
      <c r="B33" s="20" t="inlineStr">
        <is>
          <t>TOTAL PEDRO</t>
        </is>
      </c>
      <c r="C33" s="34" t="inlineStr">
        <is>
          <t>106 líneas</t>
        </is>
      </c>
      <c r="D33" s="35" t="inlineStr"/>
      <c r="E33" s="22">
        <f>SUM(E10:E32)</f>
        <v/>
      </c>
      <c r="F33" s="22">
        <f>SUM(F10:F32)</f>
        <v/>
      </c>
      <c r="G33" s="22">
        <f>SUM(G10:G32)</f>
        <v/>
      </c>
      <c r="H33" s="22">
        <f>SUM(H10:H32)</f>
        <v/>
      </c>
      <c r="I33" s="22">
        <f>SUM(I10:I32)</f>
        <v/>
      </c>
      <c r="J33" s="22">
        <f>SUM(J10:J32)</f>
        <v/>
      </c>
      <c r="K33" s="23">
        <f>IF(E33&gt;0, F33/E33, 0)</f>
        <v/>
      </c>
      <c r="L33" s="21">
        <f>IF(K33&gt;=1, "SUPERADO", "EN CURSO")</f>
        <v/>
      </c>
    </row>
  </sheetData>
  <mergeCells count="12">
    <mergeCell ref="D6:E6"/>
    <mergeCell ref="B6:C6"/>
    <mergeCell ref="H6:I6"/>
    <mergeCell ref="J5:K5"/>
    <mergeCell ref="J6:K6"/>
    <mergeCell ref="B5:C5"/>
    <mergeCell ref="F5:G5"/>
    <mergeCell ref="D5:E5"/>
    <mergeCell ref="B3:L3"/>
    <mergeCell ref="B2:L2"/>
    <mergeCell ref="F6:G6"/>
    <mergeCell ref="H5:I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L44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28" customWidth="1" min="4" max="4"/>
    <col width="14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  <col width="14" customWidth="1" min="11" max="11"/>
    <col width="16" customWidth="1" min="12" max="12"/>
  </cols>
  <sheetData>
    <row r="2" ht="36" customHeight="1">
      <c r="B2" s="1" t="inlineStr">
        <is>
          <t>CODIAGRO - SEGUIMIENTO COMERCIAL: RICARDO (UNIDADES)</t>
        </is>
      </c>
    </row>
    <row r="3" ht="18" customHeight="1">
      <c r="B3" s="2" t="inlineStr">
        <is>
          <t>Seguimiento diario de Previsión Septiembre 2026 vs Pedidos a Fecha 30/09/2026</t>
        </is>
      </c>
    </row>
    <row r="5" ht="16" customHeight="1">
      <c r="B5" s="3" t="inlineStr">
        <is>
          <t>ESTIMACIÓN SEP (U)</t>
        </is>
      </c>
      <c r="C5" s="4" t="n"/>
      <c r="D5" s="5" t="inlineStr">
        <is>
          <t>PEDIDOS REALES (U)</t>
        </is>
      </c>
      <c r="E5" s="4" t="n"/>
      <c r="F5" s="5" t="inlineStr">
        <is>
          <t>% CONSECUCIÓN</t>
        </is>
      </c>
      <c r="G5" s="4" t="n"/>
      <c r="H5" s="5" t="inlineStr">
        <is>
          <t>FALTA CONSEGUIR (GAP)</t>
        </is>
      </c>
      <c r="I5" s="4" t="n"/>
      <c r="J5" s="3" t="inlineStr">
        <is>
          <t>PENDIENTES SERVIR (U)</t>
        </is>
      </c>
      <c r="K5" s="4" t="n"/>
    </row>
    <row r="6" ht="25" customHeight="1">
      <c r="B6" s="24" t="inlineStr">
        <is>
          <t>43,608 u</t>
        </is>
      </c>
      <c r="C6" s="4" t="n"/>
      <c r="D6" s="25" t="inlineStr">
        <is>
          <t>54,908 u</t>
        </is>
      </c>
      <c r="E6" s="4" t="n"/>
      <c r="F6" s="25" t="inlineStr">
        <is>
          <t>125.9%</t>
        </is>
      </c>
      <c r="G6" s="4" t="n"/>
      <c r="H6" s="25" t="inlineStr">
        <is>
          <t>0 u</t>
        </is>
      </c>
      <c r="I6" s="4" t="n"/>
      <c r="J6" s="24" t="inlineStr">
        <is>
          <t>10,184 u</t>
        </is>
      </c>
      <c r="K6" s="4" t="n"/>
    </row>
    <row r="8">
      <c r="B8" s="26" t="inlineStr">
        <is>
          <t>DETALLE COMPARATIVO POR CLIENTE Y ARTÍCULO - RICARDO (UNIDADES)</t>
        </is>
      </c>
    </row>
    <row r="9" ht="25" customHeight="1">
      <c r="B9" s="11" t="inlineStr">
        <is>
          <t>Cliente</t>
        </is>
      </c>
      <c r="C9" s="11" t="inlineStr">
        <is>
          <t>Cód. Artículo</t>
        </is>
      </c>
      <c r="D9" s="11" t="inlineStr">
        <is>
          <t>Descripción Artículo</t>
        </is>
      </c>
      <c r="E9" s="11" t="inlineStr">
        <is>
          <t>Estimación Sep (u)</t>
        </is>
      </c>
      <c r="F9" s="11" t="inlineStr">
        <is>
          <t>Pedidos Sep (u)</t>
        </is>
      </c>
      <c r="G9" s="11" t="inlineStr">
        <is>
          <t>Servidas (u)</t>
        </is>
      </c>
      <c r="H9" s="11" t="inlineStr">
        <is>
          <t>Pendientes (u)</t>
        </is>
      </c>
      <c r="I9" s="11" t="inlineStr">
        <is>
          <t>Falta (u)</t>
        </is>
      </c>
      <c r="J9" s="11" t="inlineStr">
        <is>
          <t>Desv. (u)</t>
        </is>
      </c>
      <c r="K9" s="11" t="inlineStr">
        <is>
          <t>% Consec.</t>
        </is>
      </c>
      <c r="L9" s="11" t="inlineStr">
        <is>
          <t>Estado</t>
        </is>
      </c>
    </row>
    <row r="10">
      <c r="B10" s="27" t="inlineStr">
        <is>
          <t>AIFAR S.P.A</t>
        </is>
      </c>
      <c r="C10" s="28" t="inlineStr">
        <is>
          <t>FIORI1000</t>
        </is>
      </c>
      <c r="D10" s="27" t="inlineStr">
        <is>
          <t>RADIFIORI, 1000 L</t>
        </is>
      </c>
      <c r="E10" s="14" t="n">
        <v>0</v>
      </c>
      <c r="F10" s="14" t="n">
        <v>3000</v>
      </c>
      <c r="G10" s="14" t="n">
        <v>3000</v>
      </c>
      <c r="H10" s="14" t="n">
        <v>0</v>
      </c>
      <c r="I10" s="14">
        <f>MAX(0, E10-F10)</f>
        <v/>
      </c>
      <c r="J10" s="14">
        <f>ABS(F10-E10)</f>
        <v/>
      </c>
      <c r="K10" s="15">
        <f>IF(E10&gt;0, F10/E10, IF(F10&gt;0, 1, 0))</f>
        <v/>
      </c>
      <c r="L10" s="29" t="inlineStr">
        <is>
          <t>Extra Estimación</t>
        </is>
      </c>
    </row>
    <row r="11">
      <c r="B11" s="30" t="inlineStr">
        <is>
          <t>CAMPO ABIERTO, S.A.S.</t>
        </is>
      </c>
      <c r="C11" s="31" t="inlineStr">
        <is>
          <t>AGXCR0001</t>
        </is>
      </c>
      <c r="D11" s="30" t="inlineStr">
        <is>
          <t>AGROXILATO-K</t>
        </is>
      </c>
      <c r="E11" s="18" t="n">
        <v>0</v>
      </c>
      <c r="F11" s="18" t="n">
        <v>840</v>
      </c>
      <c r="G11" s="18" t="n">
        <v>0</v>
      </c>
      <c r="H11" s="18" t="n">
        <v>840</v>
      </c>
      <c r="I11" s="18">
        <f>MAX(0, E11-F11)</f>
        <v/>
      </c>
      <c r="J11" s="18">
        <f>ABS(F11-E11)</f>
        <v/>
      </c>
      <c r="K11" s="19">
        <f>IF(E11&gt;0, F11/E11, IF(F11&gt;0, 1, 0))</f>
        <v/>
      </c>
      <c r="L11" s="32" t="inlineStr">
        <is>
          <t>Extra Estimación</t>
        </is>
      </c>
    </row>
    <row r="12">
      <c r="B12" s="27" t="inlineStr">
        <is>
          <t>CAMPO ABIERTO, S.A.S.</t>
        </is>
      </c>
      <c r="C12" s="28" t="inlineStr">
        <is>
          <t>AGXCR0020</t>
        </is>
      </c>
      <c r="D12" s="27" t="inlineStr">
        <is>
          <t>AGROXILATO-K</t>
        </is>
      </c>
      <c r="E12" s="14" t="n">
        <v>0</v>
      </c>
      <c r="F12" s="14" t="n">
        <v>2000</v>
      </c>
      <c r="G12" s="14" t="n">
        <v>0</v>
      </c>
      <c r="H12" s="14" t="n">
        <v>2000</v>
      </c>
      <c r="I12" s="14">
        <f>MAX(0, E12-F12)</f>
        <v/>
      </c>
      <c r="J12" s="14">
        <f>ABS(F12-E12)</f>
        <v/>
      </c>
      <c r="K12" s="15">
        <f>IF(E12&gt;0, F12/E12, IF(F12&gt;0, 1, 0))</f>
        <v/>
      </c>
      <c r="L12" s="29" t="inlineStr">
        <is>
          <t>Extra Estimación</t>
        </is>
      </c>
    </row>
    <row r="13">
      <c r="B13" s="30" t="inlineStr">
        <is>
          <t>CAMPO ABIERTO, S.A.S.</t>
        </is>
      </c>
      <c r="C13" s="31" t="inlineStr">
        <is>
          <t>AN0020</t>
        </is>
      </c>
      <c r="D13" s="30" t="inlineStr">
        <is>
          <t>ALCAPLANT NEW</t>
        </is>
      </c>
      <c r="E13" s="18" t="n">
        <v>0</v>
      </c>
      <c r="F13" s="18" t="n">
        <v>4000</v>
      </c>
      <c r="G13" s="18" t="n">
        <v>0</v>
      </c>
      <c r="H13" s="18" t="n">
        <v>4000</v>
      </c>
      <c r="I13" s="18">
        <f>MAX(0, E13-F13)</f>
        <v/>
      </c>
      <c r="J13" s="18">
        <f>ABS(F13-E13)</f>
        <v/>
      </c>
      <c r="K13" s="19">
        <f>IF(E13&gt;0, F13/E13, IF(F13&gt;0, 1, 0))</f>
        <v/>
      </c>
      <c r="L13" s="32" t="inlineStr">
        <is>
          <t>Extra Estimación</t>
        </is>
      </c>
    </row>
    <row r="14">
      <c r="B14" s="27" t="inlineStr">
        <is>
          <t>CAMPO ABIERTO, S.A.S.</t>
        </is>
      </c>
      <c r="C14" s="28" t="inlineStr">
        <is>
          <t>G30001</t>
        </is>
      </c>
      <c r="D14" s="27" t="inlineStr">
        <is>
          <t>GREEN-UP, 1 L</t>
        </is>
      </c>
      <c r="E14" s="14" t="n">
        <v>0</v>
      </c>
      <c r="F14" s="14" t="n">
        <v>240</v>
      </c>
      <c r="G14" s="14" t="n">
        <v>0</v>
      </c>
      <c r="H14" s="14" t="n">
        <v>240</v>
      </c>
      <c r="I14" s="14">
        <f>MAX(0, E14-F14)</f>
        <v/>
      </c>
      <c r="J14" s="14">
        <f>ABS(F14-E14)</f>
        <v/>
      </c>
      <c r="K14" s="15">
        <f>IF(E14&gt;0, F14/E14, IF(F14&gt;0, 1, 0))</f>
        <v/>
      </c>
      <c r="L14" s="29" t="inlineStr">
        <is>
          <t>Extra Estimación</t>
        </is>
      </c>
    </row>
    <row r="15">
      <c r="B15" s="30" t="inlineStr">
        <is>
          <t>CAMPO ABIERTO, S.A.S.</t>
        </is>
      </c>
      <c r="C15" s="31" t="inlineStr">
        <is>
          <t>SSEG0001</t>
        </is>
      </c>
      <c r="D15" s="30" t="inlineStr">
        <is>
          <t>SALWAX CALCIO</t>
        </is>
      </c>
      <c r="E15" s="18" t="n">
        <v>0</v>
      </c>
      <c r="F15" s="18" t="n">
        <v>324</v>
      </c>
      <c r="G15" s="18" t="n">
        <v>0</v>
      </c>
      <c r="H15" s="18" t="n">
        <v>324</v>
      </c>
      <c r="I15" s="18">
        <f>MAX(0, E15-F15)</f>
        <v/>
      </c>
      <c r="J15" s="18">
        <f>ABS(F15-E15)</f>
        <v/>
      </c>
      <c r="K15" s="19">
        <f>IF(E15&gt;0, F15/E15, IF(F15&gt;0, 1, 0))</f>
        <v/>
      </c>
      <c r="L15" s="32" t="inlineStr">
        <is>
          <t>Extra Estimación</t>
        </is>
      </c>
    </row>
    <row r="16">
      <c r="B16" s="27" t="inlineStr">
        <is>
          <t>CAMPO ABIERTO, S.A.S.</t>
        </is>
      </c>
      <c r="C16" s="28" t="inlineStr">
        <is>
          <t>SSEG0005</t>
        </is>
      </c>
      <c r="D16" s="27" t="inlineStr">
        <is>
          <t>SALWAX CALCIO EGIPTO, 5 KG</t>
        </is>
      </c>
      <c r="E16" s="14" t="n">
        <v>0</v>
      </c>
      <c r="F16" s="14" t="n">
        <v>480</v>
      </c>
      <c r="G16" s="14" t="n">
        <v>0</v>
      </c>
      <c r="H16" s="14" t="n">
        <v>480</v>
      </c>
      <c r="I16" s="14">
        <f>MAX(0, E16-F16)</f>
        <v/>
      </c>
      <c r="J16" s="14">
        <f>ABS(F16-E16)</f>
        <v/>
      </c>
      <c r="K16" s="15">
        <f>IF(E16&gt;0, F16/E16, IF(F16&gt;0, 1, 0))</f>
        <v/>
      </c>
      <c r="L16" s="29" t="inlineStr">
        <is>
          <t>Extra Estimación</t>
        </is>
      </c>
    </row>
    <row r="17">
      <c r="B17" s="30" t="inlineStr">
        <is>
          <t>CAMPO ABIERTO, S.A.S.</t>
        </is>
      </c>
      <c r="C17" s="31" t="inlineStr">
        <is>
          <t>SSEG0020</t>
        </is>
      </c>
      <c r="D17" s="30" t="inlineStr">
        <is>
          <t>SALWAX CALCIO EGIPTO, 20 KG</t>
        </is>
      </c>
      <c r="E17" s="18" t="n">
        <v>0</v>
      </c>
      <c r="F17" s="18" t="n">
        <v>1200</v>
      </c>
      <c r="G17" s="18" t="n">
        <v>0</v>
      </c>
      <c r="H17" s="18" t="n">
        <v>1200</v>
      </c>
      <c r="I17" s="18">
        <f>MAX(0, E17-F17)</f>
        <v/>
      </c>
      <c r="J17" s="18">
        <f>ABS(F17-E17)</f>
        <v/>
      </c>
      <c r="K17" s="19">
        <f>IF(E17&gt;0, F17/E17, IF(F17&gt;0, 1, 0))</f>
        <v/>
      </c>
      <c r="L17" s="32" t="inlineStr">
        <is>
          <t>Extra Estimación</t>
        </is>
      </c>
    </row>
    <row r="18">
      <c r="B18" s="27" t="inlineStr">
        <is>
          <t>ECUAQUIMICA</t>
        </is>
      </c>
      <c r="C18" s="28" t="inlineStr">
        <is>
          <t>AN0005</t>
        </is>
      </c>
      <c r="D18" s="27" t="inlineStr">
        <is>
          <t>ALCAPLANT NEW</t>
        </is>
      </c>
      <c r="E18" s="14" t="n">
        <v>0</v>
      </c>
      <c r="F18" s="14" t="n">
        <v>2200</v>
      </c>
      <c r="G18" s="14" t="n">
        <v>2200</v>
      </c>
      <c r="H18" s="14" t="n">
        <v>0</v>
      </c>
      <c r="I18" s="14">
        <f>MAX(0, E18-F18)</f>
        <v/>
      </c>
      <c r="J18" s="14">
        <f>ABS(F18-E18)</f>
        <v/>
      </c>
      <c r="K18" s="15">
        <f>IF(E18&gt;0, F18/E18, IF(F18&gt;0, 1, 0))</f>
        <v/>
      </c>
      <c r="L18" s="29" t="inlineStr">
        <is>
          <t>Extra Estimación</t>
        </is>
      </c>
    </row>
    <row r="19">
      <c r="B19" s="30" t="inlineStr">
        <is>
          <t>ECUAQUIMICA</t>
        </is>
      </c>
      <c r="C19" s="31" t="inlineStr">
        <is>
          <t>AN0020</t>
        </is>
      </c>
      <c r="D19" s="30" t="inlineStr">
        <is>
          <t>ALCAPLANT NEW</t>
        </is>
      </c>
      <c r="E19" s="18" t="n">
        <v>0</v>
      </c>
      <c r="F19" s="18" t="n">
        <v>6600</v>
      </c>
      <c r="G19" s="18" t="n">
        <v>6600</v>
      </c>
      <c r="H19" s="18" t="n">
        <v>0</v>
      </c>
      <c r="I19" s="18">
        <f>MAX(0, E19-F19)</f>
        <v/>
      </c>
      <c r="J19" s="18">
        <f>ABS(F19-E19)</f>
        <v/>
      </c>
      <c r="K19" s="19">
        <f>IF(E19&gt;0, F19/E19, IF(F19&gt;0, 1, 0))</f>
        <v/>
      </c>
      <c r="L19" s="32" t="inlineStr">
        <is>
          <t>Extra Estimación</t>
        </is>
      </c>
    </row>
    <row r="20">
      <c r="B20" s="27" t="inlineStr">
        <is>
          <t>EUROFERTIL, S.A.</t>
        </is>
      </c>
      <c r="C20" s="28" t="inlineStr">
        <is>
          <t>F-A1000</t>
        </is>
      </c>
      <c r="D20" s="27" t="inlineStr">
        <is>
          <t>FITOLIN AGRO</t>
        </is>
      </c>
      <c r="E20" s="14" t="n">
        <v>1895.9923</v>
      </c>
      <c r="F20" s="14" t="n">
        <v>0</v>
      </c>
      <c r="G20" s="14" t="n">
        <v>0</v>
      </c>
      <c r="H20" s="14" t="n">
        <v>0</v>
      </c>
      <c r="I20" s="14">
        <f>MAX(0, E20-F20)</f>
        <v/>
      </c>
      <c r="J20" s="14">
        <f>ABS(F20-E20)</f>
        <v/>
      </c>
      <c r="K20" s="15">
        <f>IF(E20&gt;0, F20/E20, IF(F20&gt;0, 1, 0))</f>
        <v/>
      </c>
      <c r="L20" s="36" t="inlineStr">
        <is>
          <t>Sin Pedido</t>
        </is>
      </c>
    </row>
    <row r="21">
      <c r="B21" s="30" t="inlineStr">
        <is>
          <t xml:space="preserve">EUROFERTIL, S.A.    </t>
        </is>
      </c>
      <c r="C21" s="31" t="inlineStr">
        <is>
          <t>AGXCR1000</t>
        </is>
      </c>
      <c r="D21" s="30" t="inlineStr">
        <is>
          <t>AGROXILATO-K, 1000 L</t>
        </is>
      </c>
      <c r="E21" s="18" t="n">
        <v>0</v>
      </c>
      <c r="F21" s="18" t="n">
        <v>3000</v>
      </c>
      <c r="G21" s="18" t="n">
        <v>3000</v>
      </c>
      <c r="H21" s="18" t="n">
        <v>0</v>
      </c>
      <c r="I21" s="18">
        <f>MAX(0, E21-F21)</f>
        <v/>
      </c>
      <c r="J21" s="18">
        <f>ABS(F21-E21)</f>
        <v/>
      </c>
      <c r="K21" s="19">
        <f>IF(E21&gt;0, F21/E21, IF(F21&gt;0, 1, 0))</f>
        <v/>
      </c>
      <c r="L21" s="32" t="inlineStr">
        <is>
          <t>Extra Estimación</t>
        </is>
      </c>
    </row>
    <row r="22">
      <c r="B22" s="27" t="inlineStr">
        <is>
          <t xml:space="preserve">EUROFERTIL, S.A.    </t>
        </is>
      </c>
      <c r="C22" s="28" t="inlineStr">
        <is>
          <t>AN0005</t>
        </is>
      </c>
      <c r="D22" s="27" t="inlineStr">
        <is>
          <t>ALCAPLANT, 5 KG</t>
        </is>
      </c>
      <c r="E22" s="14" t="n">
        <v>0</v>
      </c>
      <c r="F22" s="14" t="n">
        <v>3300</v>
      </c>
      <c r="G22" s="14" t="n">
        <v>3300</v>
      </c>
      <c r="H22" s="14" t="n">
        <v>0</v>
      </c>
      <c r="I22" s="14">
        <f>MAX(0, E22-F22)</f>
        <v/>
      </c>
      <c r="J22" s="14">
        <f>ABS(F22-E22)</f>
        <v/>
      </c>
      <c r="K22" s="15">
        <f>IF(E22&gt;0, F22/E22, IF(F22&gt;0, 1, 0))</f>
        <v/>
      </c>
      <c r="L22" s="29" t="inlineStr">
        <is>
          <t>Extra Estimación</t>
        </is>
      </c>
    </row>
    <row r="23">
      <c r="B23" s="30" t="inlineStr">
        <is>
          <t xml:space="preserve">EUROFERTIL, S.A.    </t>
        </is>
      </c>
      <c r="C23" s="31" t="inlineStr">
        <is>
          <t>AN0020</t>
        </is>
      </c>
      <c r="D23" s="30" t="inlineStr">
        <is>
          <t>ALCAPLANT, 20 KG</t>
        </is>
      </c>
      <c r="E23" s="18" t="n">
        <v>0</v>
      </c>
      <c r="F23" s="18" t="n">
        <v>4400</v>
      </c>
      <c r="G23" s="18" t="n">
        <v>4400</v>
      </c>
      <c r="H23" s="18" t="n">
        <v>0</v>
      </c>
      <c r="I23" s="18">
        <f>MAX(0, E23-F23)</f>
        <v/>
      </c>
      <c r="J23" s="18">
        <f>ABS(F23-E23)</f>
        <v/>
      </c>
      <c r="K23" s="19">
        <f>IF(E23&gt;0, F23/E23, IF(F23&gt;0, 1, 0))</f>
        <v/>
      </c>
      <c r="L23" s="32" t="inlineStr">
        <is>
          <t>Extra Estimación</t>
        </is>
      </c>
    </row>
    <row r="24">
      <c r="B24" s="27" t="inlineStr">
        <is>
          <t xml:space="preserve">EUROFERTIL, S.A.    </t>
        </is>
      </c>
      <c r="C24" s="28" t="inlineStr">
        <is>
          <t>B1000</t>
        </is>
      </c>
      <c r="D24" s="27" t="inlineStr">
        <is>
          <t>FORTALEZA, 1000 L</t>
        </is>
      </c>
      <c r="E24" s="14" t="n">
        <v>0</v>
      </c>
      <c r="F24" s="14" t="n">
        <v>2000</v>
      </c>
      <c r="G24" s="14" t="n">
        <v>2000</v>
      </c>
      <c r="H24" s="14" t="n">
        <v>0</v>
      </c>
      <c r="I24" s="14">
        <f>MAX(0, E24-F24)</f>
        <v/>
      </c>
      <c r="J24" s="14">
        <f>ABS(F24-E24)</f>
        <v/>
      </c>
      <c r="K24" s="15">
        <f>IF(E24&gt;0, F24/E24, IF(F24&gt;0, 1, 0))</f>
        <v/>
      </c>
      <c r="L24" s="29" t="inlineStr">
        <is>
          <t>Extra Estimación</t>
        </is>
      </c>
    </row>
    <row r="25">
      <c r="B25" s="30" t="inlineStr">
        <is>
          <t xml:space="preserve">EUROFERTIL, S.A.    </t>
        </is>
      </c>
      <c r="C25" s="31" t="inlineStr">
        <is>
          <t>C-CU1000</t>
        </is>
      </c>
      <c r="D25" s="30" t="inlineStr">
        <is>
          <t>CODICOBRE, 1000 L</t>
        </is>
      </c>
      <c r="E25" s="18" t="n">
        <v>0</v>
      </c>
      <c r="F25" s="18" t="n">
        <v>1000</v>
      </c>
      <c r="G25" s="18" t="n">
        <v>1000</v>
      </c>
      <c r="H25" s="18" t="n">
        <v>0</v>
      </c>
      <c r="I25" s="18">
        <f>MAX(0, E25-F25)</f>
        <v/>
      </c>
      <c r="J25" s="18">
        <f>ABS(F25-E25)</f>
        <v/>
      </c>
      <c r="K25" s="19">
        <f>IF(E25&gt;0, F25/E25, IF(F25&gt;0, 1, 0))</f>
        <v/>
      </c>
      <c r="L25" s="32" t="inlineStr">
        <is>
          <t>Extra Estimación</t>
        </is>
      </c>
    </row>
    <row r="26">
      <c r="B26" s="27" t="inlineStr">
        <is>
          <t xml:space="preserve">EUROFERTIL, S.A.    </t>
        </is>
      </c>
      <c r="C26" s="28" t="inlineStr">
        <is>
          <t>CODIR1000</t>
        </is>
      </c>
      <c r="D26" s="27" t="inlineStr">
        <is>
          <t>CODIRESIST, 1000 L</t>
        </is>
      </c>
      <c r="E26" s="14" t="n">
        <v>0</v>
      </c>
      <c r="F26" s="14" t="n">
        <v>1000</v>
      </c>
      <c r="G26" s="14" t="n">
        <v>1000</v>
      </c>
      <c r="H26" s="14" t="n">
        <v>0</v>
      </c>
      <c r="I26" s="14">
        <f>MAX(0, E26-F26)</f>
        <v/>
      </c>
      <c r="J26" s="14">
        <f>ABS(F26-E26)</f>
        <v/>
      </c>
      <c r="K26" s="15">
        <f>IF(E26&gt;0, F26/E26, IF(F26&gt;0, 1, 0))</f>
        <v/>
      </c>
      <c r="L26" s="29" t="inlineStr">
        <is>
          <t>Extra Estimación</t>
        </is>
      </c>
    </row>
    <row r="27">
      <c r="B27" s="30" t="inlineStr">
        <is>
          <t xml:space="preserve">EUROFERTIL, S.A.    </t>
        </is>
      </c>
      <c r="C27" s="31" t="inlineStr">
        <is>
          <t>DECA0005</t>
        </is>
      </c>
      <c r="D27" s="30" t="inlineStr">
        <is>
          <t>DEFENS-CA-AE, 5 KG</t>
        </is>
      </c>
      <c r="E27" s="18" t="n">
        <v>0</v>
      </c>
      <c r="F27" s="18" t="n">
        <v>750</v>
      </c>
      <c r="G27" s="18" t="n">
        <v>750</v>
      </c>
      <c r="H27" s="18" t="n">
        <v>0</v>
      </c>
      <c r="I27" s="18">
        <f>MAX(0, E27-F27)</f>
        <v/>
      </c>
      <c r="J27" s="18">
        <f>ABS(F27-E27)</f>
        <v/>
      </c>
      <c r="K27" s="19">
        <f>IF(E27&gt;0, F27/E27, IF(F27&gt;0, 1, 0))</f>
        <v/>
      </c>
      <c r="L27" s="32" t="inlineStr">
        <is>
          <t>Extra Estimación</t>
        </is>
      </c>
    </row>
    <row r="28">
      <c r="B28" s="27" t="inlineStr">
        <is>
          <t xml:space="preserve">EUROFERTIL, S.A.    </t>
        </is>
      </c>
      <c r="C28" s="28" t="inlineStr">
        <is>
          <t>F-A1000</t>
        </is>
      </c>
      <c r="D28" s="27" t="inlineStr">
        <is>
          <t xml:space="preserve">FITOLIN AGRO, 1000 L </t>
        </is>
      </c>
      <c r="E28" s="14" t="n">
        <v>0</v>
      </c>
      <c r="F28" s="14" t="n">
        <v>1000</v>
      </c>
      <c r="G28" s="14" t="n">
        <v>1000</v>
      </c>
      <c r="H28" s="14" t="n">
        <v>0</v>
      </c>
      <c r="I28" s="14">
        <f>MAX(0, E28-F28)</f>
        <v/>
      </c>
      <c r="J28" s="14">
        <f>ABS(F28-E28)</f>
        <v/>
      </c>
      <c r="K28" s="15">
        <f>IF(E28&gt;0, F28/E28, IF(F28&gt;0, 1, 0))</f>
        <v/>
      </c>
      <c r="L28" s="29" t="inlineStr">
        <is>
          <t>Extra Estimación</t>
        </is>
      </c>
    </row>
    <row r="29">
      <c r="B29" s="30" t="inlineStr">
        <is>
          <t xml:space="preserve">EUROFERTIL, S.A.    </t>
        </is>
      </c>
      <c r="C29" s="31" t="inlineStr">
        <is>
          <t>NB1000</t>
        </is>
      </c>
      <c r="D29" s="30" t="inlineStr">
        <is>
          <t>NITROBALANCE, 1000 L</t>
        </is>
      </c>
      <c r="E29" s="18" t="n">
        <v>0</v>
      </c>
      <c r="F29" s="18" t="n">
        <v>2000</v>
      </c>
      <c r="G29" s="18" t="n">
        <v>2000</v>
      </c>
      <c r="H29" s="18" t="n">
        <v>0</v>
      </c>
      <c r="I29" s="18">
        <f>MAX(0, E29-F29)</f>
        <v/>
      </c>
      <c r="J29" s="18">
        <f>ABS(F29-E29)</f>
        <v/>
      </c>
      <c r="K29" s="19">
        <f>IF(E29&gt;0, F29/E29, IF(F29&gt;0, 1, 0))</f>
        <v/>
      </c>
      <c r="L29" s="32" t="inlineStr">
        <is>
          <t>Extra Estimación</t>
        </is>
      </c>
    </row>
    <row r="30">
      <c r="B30" s="27" t="inlineStr">
        <is>
          <t xml:space="preserve">EUROFERTIL, S.A.    </t>
        </is>
      </c>
      <c r="C30" s="28" t="inlineStr">
        <is>
          <t>SS0020</t>
        </is>
      </c>
      <c r="D30" s="27" t="inlineStr">
        <is>
          <t>SAL WAX MAX, 20 KG</t>
        </is>
      </c>
      <c r="E30" s="14" t="n">
        <v>0</v>
      </c>
      <c r="F30" s="14" t="n">
        <v>1600</v>
      </c>
      <c r="G30" s="14" t="n">
        <v>1600</v>
      </c>
      <c r="H30" s="14" t="n">
        <v>0</v>
      </c>
      <c r="I30" s="14">
        <f>MAX(0, E30-F30)</f>
        <v/>
      </c>
      <c r="J30" s="14">
        <f>ABS(F30-E30)</f>
        <v/>
      </c>
      <c r="K30" s="15">
        <f>IF(E30&gt;0, F30/E30, IF(F30&gt;0, 1, 0))</f>
        <v/>
      </c>
      <c r="L30" s="29" t="inlineStr">
        <is>
          <t>Extra Estimación</t>
        </is>
      </c>
    </row>
    <row r="31">
      <c r="B31" s="30" t="inlineStr">
        <is>
          <t>HORTIFRUT - PERU, S.A.C.</t>
        </is>
      </c>
      <c r="C31" s="31" t="inlineStr">
        <is>
          <t>AN0020</t>
        </is>
      </c>
      <c r="D31" s="30" t="inlineStr">
        <is>
          <t>ALCAPLANT NEW, 20 KG</t>
        </is>
      </c>
      <c r="E31" s="18" t="n">
        <v>0</v>
      </c>
      <c r="F31" s="18" t="n">
        <v>1100</v>
      </c>
      <c r="G31" s="18" t="n">
        <v>0</v>
      </c>
      <c r="H31" s="18" t="n">
        <v>1100</v>
      </c>
      <c r="I31" s="18">
        <f>MAX(0, E31-F31)</f>
        <v/>
      </c>
      <c r="J31" s="18">
        <f>ABS(F31-E31)</f>
        <v/>
      </c>
      <c r="K31" s="19">
        <f>IF(E31&gt;0, F31/E31, IF(F31&gt;0, 1, 0))</f>
        <v/>
      </c>
      <c r="L31" s="32" t="inlineStr">
        <is>
          <t>Extra Estimación</t>
        </is>
      </c>
    </row>
    <row r="32">
      <c r="B32" s="27" t="inlineStr">
        <is>
          <t>LEKKERBIO B.V.</t>
        </is>
      </c>
      <c r="C32" s="28" t="inlineStr">
        <is>
          <t>AO0020</t>
        </is>
      </c>
      <c r="D32" s="27" t="inlineStr">
        <is>
          <t>ALCAPLANT NEW</t>
        </is>
      </c>
      <c r="E32" s="14" t="n">
        <v>41711.8302</v>
      </c>
      <c r="F32" s="14" t="n">
        <v>0</v>
      </c>
      <c r="G32" s="14" t="n">
        <v>0</v>
      </c>
      <c r="H32" s="14" t="n">
        <v>0</v>
      </c>
      <c r="I32" s="14">
        <f>MAX(0, E32-F32)</f>
        <v/>
      </c>
      <c r="J32" s="14">
        <f>ABS(F32-E32)</f>
        <v/>
      </c>
      <c r="K32" s="15">
        <f>IF(E32&gt;0, F32/E32, IF(F32&gt;0, 1, 0))</f>
        <v/>
      </c>
      <c r="L32" s="36" t="inlineStr">
        <is>
          <t>Sin Pedido</t>
        </is>
      </c>
    </row>
    <row r="33">
      <c r="B33" s="30" t="inlineStr">
        <is>
          <t xml:space="preserve">SERVICIOS AGROPECUARIOS EL LLANO, S. A. </t>
        </is>
      </c>
      <c r="C33" s="31" t="inlineStr">
        <is>
          <t>A-500001</t>
        </is>
      </c>
      <c r="D33" s="30" t="inlineStr">
        <is>
          <t>CODIORGAN-A50, 1 KG</t>
        </is>
      </c>
      <c r="E33" s="18" t="n">
        <v>0</v>
      </c>
      <c r="F33" s="18" t="n">
        <v>368</v>
      </c>
      <c r="G33" s="18" t="n">
        <v>368</v>
      </c>
      <c r="H33" s="18" t="n">
        <v>0</v>
      </c>
      <c r="I33" s="18">
        <f>MAX(0, E33-F33)</f>
        <v/>
      </c>
      <c r="J33" s="18">
        <f>ABS(F33-E33)</f>
        <v/>
      </c>
      <c r="K33" s="19">
        <f>IF(E33&gt;0, F33/E33, IF(F33&gt;0, 1, 0))</f>
        <v/>
      </c>
      <c r="L33" s="32" t="inlineStr">
        <is>
          <t>Extra Estimación</t>
        </is>
      </c>
    </row>
    <row r="34">
      <c r="B34" s="27" t="inlineStr">
        <is>
          <t xml:space="preserve">SERVICIOS AGROPECUARIOS EL LLANO, S. A. </t>
        </is>
      </c>
      <c r="C34" s="28" t="inlineStr">
        <is>
          <t>AGXCR0001</t>
        </is>
      </c>
      <c r="D34" s="27" t="inlineStr">
        <is>
          <t>AGROXILATO-K, 1 L</t>
        </is>
      </c>
      <c r="E34" s="14" t="n">
        <v>0</v>
      </c>
      <c r="F34" s="14" t="n">
        <v>540</v>
      </c>
      <c r="G34" s="14" t="n">
        <v>540</v>
      </c>
      <c r="H34" s="14" t="n">
        <v>0</v>
      </c>
      <c r="I34" s="14">
        <f>MAX(0, E34-F34)</f>
        <v/>
      </c>
      <c r="J34" s="14">
        <f>ABS(F34-E34)</f>
        <v/>
      </c>
      <c r="K34" s="15">
        <f>IF(E34&gt;0, F34/E34, IF(F34&gt;0, 1, 0))</f>
        <v/>
      </c>
      <c r="L34" s="29" t="inlineStr">
        <is>
          <t>Extra Estimación</t>
        </is>
      </c>
    </row>
    <row r="35">
      <c r="B35" s="30" t="inlineStr">
        <is>
          <t xml:space="preserve">SERVICIOS AGROPECUARIOS EL LLANO, S. A. </t>
        </is>
      </c>
      <c r="C35" s="31" t="inlineStr">
        <is>
          <t>AGXCR0005</t>
        </is>
      </c>
      <c r="D35" s="30" t="inlineStr">
        <is>
          <t>AGROXILATO-K, 5 L</t>
        </is>
      </c>
      <c r="E35" s="18" t="n">
        <v>0</v>
      </c>
      <c r="F35" s="18" t="n">
        <v>300</v>
      </c>
      <c r="G35" s="18" t="n">
        <v>300</v>
      </c>
      <c r="H35" s="18" t="n">
        <v>0</v>
      </c>
      <c r="I35" s="18">
        <f>MAX(0, E35-F35)</f>
        <v/>
      </c>
      <c r="J35" s="18">
        <f>ABS(F35-E35)</f>
        <v/>
      </c>
      <c r="K35" s="19">
        <f>IF(E35&gt;0, F35/E35, IF(F35&gt;0, 1, 0))</f>
        <v/>
      </c>
      <c r="L35" s="32" t="inlineStr">
        <is>
          <t>Extra Estimación</t>
        </is>
      </c>
    </row>
    <row r="36">
      <c r="B36" s="27" t="inlineStr">
        <is>
          <t xml:space="preserve">SERVICIOS AGROPECUARIOS EL LLANO, S. A. </t>
        </is>
      </c>
      <c r="C36" s="28" t="inlineStr">
        <is>
          <t>AN0005</t>
        </is>
      </c>
      <c r="D36" s="27" t="inlineStr">
        <is>
          <t>ALCAPLANT, 5 KG</t>
        </is>
      </c>
      <c r="E36" s="14" t="n">
        <v>0</v>
      </c>
      <c r="F36" s="14" t="n">
        <v>7920</v>
      </c>
      <c r="G36" s="14" t="n">
        <v>7920</v>
      </c>
      <c r="H36" s="14" t="n">
        <v>0</v>
      </c>
      <c r="I36" s="14">
        <f>MAX(0, E36-F36)</f>
        <v/>
      </c>
      <c r="J36" s="14">
        <f>ABS(F36-E36)</f>
        <v/>
      </c>
      <c r="K36" s="15">
        <f>IF(E36&gt;0, F36/E36, IF(F36&gt;0, 1, 0))</f>
        <v/>
      </c>
      <c r="L36" s="29" t="inlineStr">
        <is>
          <t>Extra Estimación</t>
        </is>
      </c>
    </row>
    <row r="37">
      <c r="B37" s="30" t="inlineStr">
        <is>
          <t xml:space="preserve">SERVICIOS AGROPECUARIOS EL LLANO, S. A. </t>
        </is>
      </c>
      <c r="C37" s="31" t="inlineStr">
        <is>
          <t>B0001</t>
        </is>
      </c>
      <c r="D37" s="30" t="inlineStr">
        <is>
          <t>FORTALEZA,1 L</t>
        </is>
      </c>
      <c r="E37" s="18" t="n">
        <v>0</v>
      </c>
      <c r="F37" s="18" t="n">
        <v>540</v>
      </c>
      <c r="G37" s="18" t="n">
        <v>540</v>
      </c>
      <c r="H37" s="18" t="n">
        <v>0</v>
      </c>
      <c r="I37" s="18">
        <f>MAX(0, E37-F37)</f>
        <v/>
      </c>
      <c r="J37" s="18">
        <f>ABS(F37-E37)</f>
        <v/>
      </c>
      <c r="K37" s="19">
        <f>IF(E37&gt;0, F37/E37, IF(F37&gt;0, 1, 0))</f>
        <v/>
      </c>
      <c r="L37" s="32" t="inlineStr">
        <is>
          <t>Extra Estimación</t>
        </is>
      </c>
    </row>
    <row r="38">
      <c r="B38" s="27" t="inlineStr">
        <is>
          <t xml:space="preserve">SERVICIOS AGROPECUARIOS EL LLANO, S. A. </t>
        </is>
      </c>
      <c r="C38" s="28" t="inlineStr">
        <is>
          <t>C-CU0001</t>
        </is>
      </c>
      <c r="D38" s="27" t="inlineStr">
        <is>
          <t>CODICOBRE, 1 L</t>
        </is>
      </c>
      <c r="E38" s="14" t="n">
        <v>0</v>
      </c>
      <c r="F38" s="14" t="n">
        <v>840</v>
      </c>
      <c r="G38" s="14" t="n">
        <v>840</v>
      </c>
      <c r="H38" s="14" t="n">
        <v>0</v>
      </c>
      <c r="I38" s="14">
        <f>MAX(0, E38-F38)</f>
        <v/>
      </c>
      <c r="J38" s="14">
        <f>ABS(F38-E38)</f>
        <v/>
      </c>
      <c r="K38" s="15">
        <f>IF(E38&gt;0, F38/E38, IF(F38&gt;0, 1, 0))</f>
        <v/>
      </c>
      <c r="L38" s="29" t="inlineStr">
        <is>
          <t>Extra Estimación</t>
        </is>
      </c>
    </row>
    <row r="39">
      <c r="B39" s="30" t="inlineStr">
        <is>
          <t xml:space="preserve">SERVICIOS AGROPECUARIOS EL LLANO, S. A. </t>
        </is>
      </c>
      <c r="C39" s="31" t="inlineStr">
        <is>
          <t>C-CU0005</t>
        </is>
      </c>
      <c r="D39" s="30" t="inlineStr">
        <is>
          <t>CODICOBRE, 5 L</t>
        </is>
      </c>
      <c r="E39" s="18" t="n">
        <v>0</v>
      </c>
      <c r="F39" s="18" t="n">
        <v>600</v>
      </c>
      <c r="G39" s="18" t="n">
        <v>600</v>
      </c>
      <c r="H39" s="18" t="n">
        <v>0</v>
      </c>
      <c r="I39" s="18">
        <f>MAX(0, E39-F39)</f>
        <v/>
      </c>
      <c r="J39" s="18">
        <f>ABS(F39-E39)</f>
        <v/>
      </c>
      <c r="K39" s="19">
        <f>IF(E39&gt;0, F39/E39, IF(F39&gt;0, 1, 0))</f>
        <v/>
      </c>
      <c r="L39" s="32" t="inlineStr">
        <is>
          <t>Extra Estimación</t>
        </is>
      </c>
    </row>
    <row r="40">
      <c r="B40" s="27" t="inlineStr">
        <is>
          <t xml:space="preserve">SERVICIOS AGROPECUARIOS EL LLANO, S. A. </t>
        </is>
      </c>
      <c r="C40" s="28" t="inlineStr">
        <is>
          <t>SERVFLETE</t>
        </is>
      </c>
      <c r="D40" s="27" t="inlineStr">
        <is>
          <t>FREIGHT</t>
        </is>
      </c>
      <c r="E40" s="14" t="n">
        <v>0</v>
      </c>
      <c r="F40" s="14" t="n">
        <v>1</v>
      </c>
      <c r="G40" s="14" t="n">
        <v>1</v>
      </c>
      <c r="H40" s="14" t="n">
        <v>0</v>
      </c>
      <c r="I40" s="14">
        <f>MAX(0, E40-F40)</f>
        <v/>
      </c>
      <c r="J40" s="14">
        <f>ABS(F40-E40)</f>
        <v/>
      </c>
      <c r="K40" s="15">
        <f>IF(E40&gt;0, F40/E40, IF(F40&gt;0, 1, 0))</f>
        <v/>
      </c>
      <c r="L40" s="29" t="inlineStr">
        <is>
          <t>Extra Estimación</t>
        </is>
      </c>
    </row>
    <row r="41">
      <c r="B41" s="30" t="inlineStr">
        <is>
          <t xml:space="preserve">SERVICIOS AGROPECUARIOS EL LLANO, S. A. </t>
        </is>
      </c>
      <c r="C41" s="31" t="inlineStr">
        <is>
          <t>SERVSEGURO</t>
        </is>
      </c>
      <c r="D41" s="30" t="inlineStr">
        <is>
          <t>INSURANCE</t>
        </is>
      </c>
      <c r="E41" s="18" t="n">
        <v>0</v>
      </c>
      <c r="F41" s="18" t="n">
        <v>1</v>
      </c>
      <c r="G41" s="18" t="n">
        <v>1</v>
      </c>
      <c r="H41" s="18" t="n">
        <v>0</v>
      </c>
      <c r="I41" s="18">
        <f>MAX(0, E41-F41)</f>
        <v/>
      </c>
      <c r="J41" s="18">
        <f>ABS(F41-E41)</f>
        <v/>
      </c>
      <c r="K41" s="19">
        <f>IF(E41&gt;0, F41/E41, IF(F41&gt;0, 1, 0))</f>
        <v/>
      </c>
      <c r="L41" s="32" t="inlineStr">
        <is>
          <t>Extra Estimación</t>
        </is>
      </c>
    </row>
    <row r="42">
      <c r="B42" s="27" t="inlineStr">
        <is>
          <t xml:space="preserve">SERVICIOS AGROPECUARIOS EL LLANO, S. A. </t>
        </is>
      </c>
      <c r="C42" s="28" t="inlineStr">
        <is>
          <t>SPCE0001</t>
        </is>
      </c>
      <c r="D42" s="27" t="inlineStr">
        <is>
          <t>SPRINTENE ABONO CE, 1 L</t>
        </is>
      </c>
      <c r="E42" s="14" t="n">
        <v>0</v>
      </c>
      <c r="F42" s="14" t="n">
        <v>180</v>
      </c>
      <c r="G42" s="14" t="n">
        <v>180</v>
      </c>
      <c r="H42" s="14" t="n">
        <v>0</v>
      </c>
      <c r="I42" s="14">
        <f>MAX(0, E42-F42)</f>
        <v/>
      </c>
      <c r="J42" s="14">
        <f>ABS(F42-E42)</f>
        <v/>
      </c>
      <c r="K42" s="15">
        <f>IF(E42&gt;0, F42/E42, IF(F42&gt;0, 1, 0))</f>
        <v/>
      </c>
      <c r="L42" s="29" t="inlineStr">
        <is>
          <t>Extra Estimación</t>
        </is>
      </c>
    </row>
    <row r="43">
      <c r="B43" s="30" t="inlineStr">
        <is>
          <t xml:space="preserve">SERVICIOS AGROPECUARIOS EL LLANO, S. A. </t>
        </is>
      </c>
      <c r="C43" s="31" t="inlineStr">
        <is>
          <t>SS0001</t>
        </is>
      </c>
      <c r="D43" s="30" t="inlineStr">
        <is>
          <t>SAL WAX MAX, 1 KG</t>
        </is>
      </c>
      <c r="E43" s="18" t="n">
        <v>0</v>
      </c>
      <c r="F43" s="18" t="n">
        <v>1584</v>
      </c>
      <c r="G43" s="18" t="n">
        <v>1584</v>
      </c>
      <c r="H43" s="18" t="n">
        <v>0</v>
      </c>
      <c r="I43" s="18">
        <f>MAX(0, E43-F43)</f>
        <v/>
      </c>
      <c r="J43" s="18">
        <f>ABS(F43-E43)</f>
        <v/>
      </c>
      <c r="K43" s="19">
        <f>IF(E43&gt;0, F43/E43, IF(F43&gt;0, 1, 0))</f>
        <v/>
      </c>
      <c r="L43" s="32" t="inlineStr">
        <is>
          <t>Extra Estimación</t>
        </is>
      </c>
    </row>
    <row r="44" ht="24" customHeight="1">
      <c r="B44" s="20" t="inlineStr">
        <is>
          <t>TOTAL RICARDO</t>
        </is>
      </c>
      <c r="C44" s="34" t="inlineStr">
        <is>
          <t>137 líneas</t>
        </is>
      </c>
      <c r="D44" s="35" t="inlineStr"/>
      <c r="E44" s="22">
        <f>SUM(E10:E43)</f>
        <v/>
      </c>
      <c r="F44" s="22">
        <f>SUM(F10:F43)</f>
        <v/>
      </c>
      <c r="G44" s="22">
        <f>SUM(G10:G43)</f>
        <v/>
      </c>
      <c r="H44" s="22">
        <f>SUM(H10:H43)</f>
        <v/>
      </c>
      <c r="I44" s="22">
        <f>SUM(I10:I43)</f>
        <v/>
      </c>
      <c r="J44" s="22">
        <f>SUM(J10:J43)</f>
        <v/>
      </c>
      <c r="K44" s="23">
        <f>IF(E44&gt;0, F44/E44, 0)</f>
        <v/>
      </c>
      <c r="L44" s="21">
        <f>IF(K44&gt;=1, "SUPERADO", "EN CURSO")</f>
        <v/>
      </c>
    </row>
  </sheetData>
  <mergeCells count="12">
    <mergeCell ref="D6:E6"/>
    <mergeCell ref="B6:C6"/>
    <mergeCell ref="H6:I6"/>
    <mergeCell ref="J5:K5"/>
    <mergeCell ref="J6:K6"/>
    <mergeCell ref="B5:C5"/>
    <mergeCell ref="F5:G5"/>
    <mergeCell ref="D5:E5"/>
    <mergeCell ref="B3:L3"/>
    <mergeCell ref="B2:L2"/>
    <mergeCell ref="F6:G6"/>
    <mergeCell ref="H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2026-10-30T06:28:10Z</dcterms:created>
  <dcterms:modified xmlns:dcterms="http://purl.org/dc/terms/" xmlns:xsi="http://www.w3.org/2001/XMLSchema-instance" xsi:type="dcterms:W3CDTF">2026-10-30T06:28:12Z</dcterms:modified>
</cp:coreProperties>
</file>