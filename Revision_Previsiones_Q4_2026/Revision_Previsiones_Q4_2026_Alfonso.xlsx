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Alfons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14:02</t>
        </is>
      </c>
    </row>
    <row r="4" ht="26" customHeight="1">
      <c r="B4" s="3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F44</f>
        <v/>
      </c>
      <c r="C6" s="5" t="n"/>
      <c r="D6" s="5" t="n"/>
      <c r="E6" s="10">
        <f>G44</f>
        <v/>
      </c>
      <c r="F6" s="5" t="n"/>
      <c r="G6" s="5" t="n"/>
      <c r="H6" s="11">
        <f>I44</f>
        <v/>
      </c>
      <c r="I6" s="5" t="n"/>
      <c r="J6" s="11">
        <f>J44</f>
        <v/>
      </c>
      <c r="K6" s="5" t="n"/>
      <c r="L6" s="9">
        <f>R44</f>
        <v/>
      </c>
      <c r="M6" s="5" t="n"/>
      <c r="N6" s="5" t="n"/>
      <c r="O6" s="10">
        <f>S44</f>
        <v/>
      </c>
      <c r="P6" s="5" t="n"/>
      <c r="Q6" s="5" t="n"/>
      <c r="R6" s="12">
        <f>T44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ACTIV. PRODUC. Y COMERC. LA VEGUILLA, SL</t>
        </is>
      </c>
      <c r="D10" s="20" t="inlineStr">
        <is>
          <t>BIO0020</t>
        </is>
      </c>
      <c r="E10" s="21" t="inlineStr">
        <is>
          <t>BIORAD-20, 20 L</t>
        </is>
      </c>
      <c r="F10" s="22" t="n">
        <v>960</v>
      </c>
      <c r="G10" s="23" t="n">
        <v>1280</v>
      </c>
      <c r="H10" s="22">
        <f>ABS(G10-F10)</f>
        <v/>
      </c>
      <c r="I10" s="24">
        <f>IF(F10&gt;0, G10/F10, IF(G10&gt;0, 1.0, 0.0))</f>
        <v/>
      </c>
      <c r="J10" s="25">
        <f>IF(F10&gt;0, 1.0 - (H10/F10), IF(G10=0, 1.0, 0.0))</f>
        <v/>
      </c>
      <c r="K10" s="26" t="inlineStr"/>
      <c r="L10" s="27" t="n">
        <v>960</v>
      </c>
      <c r="M10" s="28" t="n">
        <v>960</v>
      </c>
      <c r="N10" s="27" t="n">
        <v>0</v>
      </c>
      <c r="O10" s="28" t="n">
        <v>0</v>
      </c>
      <c r="P10" s="27" t="n">
        <v>960</v>
      </c>
      <c r="Q10" s="28" t="n">
        <v>960</v>
      </c>
      <c r="R10" s="22">
        <f>L10+N10+P10</f>
        <v/>
      </c>
      <c r="S10" s="23">
        <f>M10+O10+Q10</f>
        <v/>
      </c>
      <c r="T10" s="29">
        <f>S10-R10</f>
        <v/>
      </c>
      <c r="U10" s="30" t="inlineStr"/>
    </row>
    <row r="11" ht="20" customHeight="1">
      <c r="B11" s="20" t="inlineStr">
        <is>
          <t>ESPAÑA</t>
        </is>
      </c>
      <c r="C11" s="21" t="inlineStr">
        <is>
          <t>ACTIV. PRODUC. Y COMERC. LA VEGUILLA, SL</t>
        </is>
      </c>
      <c r="D11" s="20" t="inlineStr">
        <is>
          <t>BROTA0020</t>
        </is>
      </c>
      <c r="E11" s="21" t="inlineStr">
        <is>
          <t>BROTAMEC, 20 L</t>
        </is>
      </c>
      <c r="F11" s="22" t="n">
        <v>960</v>
      </c>
      <c r="G11" s="23" t="n">
        <v>1920</v>
      </c>
      <c r="H11" s="22">
        <f>ABS(G11-F11)</f>
        <v/>
      </c>
      <c r="I11" s="24">
        <f>IF(F11&gt;0, G11/F11, IF(G11&gt;0, 1.0, 0.0))</f>
        <v/>
      </c>
      <c r="J11" s="25">
        <f>IF(F11&gt;0, 1.0 - (H11/F11), IF(G11=0, 1.0, 0.0))</f>
        <v/>
      </c>
      <c r="K11" s="26" t="inlineStr"/>
      <c r="L11" s="27" t="n">
        <v>920</v>
      </c>
      <c r="M11" s="28" t="n">
        <v>920</v>
      </c>
      <c r="N11" s="27" t="n">
        <v>0</v>
      </c>
      <c r="O11" s="28" t="n">
        <v>0</v>
      </c>
      <c r="P11" s="27" t="n">
        <v>960</v>
      </c>
      <c r="Q11" s="28" t="n">
        <v>960</v>
      </c>
      <c r="R11" s="22">
        <f>L11+N11+P11</f>
        <v/>
      </c>
      <c r="S11" s="23">
        <f>M11+O11+Q11</f>
        <v/>
      </c>
      <c r="T11" s="29">
        <f>S11-R11</f>
        <v/>
      </c>
      <c r="U11" s="30" t="inlineStr"/>
    </row>
    <row r="12" ht="20" customHeight="1">
      <c r="B12" s="20" t="inlineStr">
        <is>
          <t>ESPAÑA</t>
        </is>
      </c>
      <c r="C12" s="21" t="inlineStr">
        <is>
          <t>AGRICOLA DEL JUCAR DE CUENCA, S.L.</t>
        </is>
      </c>
      <c r="D12" s="20" t="inlineStr">
        <is>
          <t>C-CU0020</t>
        </is>
      </c>
      <c r="E12" s="21" t="inlineStr">
        <is>
          <t>CODICOBRE, 20 L</t>
        </is>
      </c>
      <c r="F12" s="22" t="n">
        <v>0</v>
      </c>
      <c r="G12" s="23" t="n">
        <v>100</v>
      </c>
      <c r="H12" s="22">
        <f>ABS(G12-F12)</f>
        <v/>
      </c>
      <c r="I12" s="24">
        <f>IF(F12&gt;0, G12/F12, IF(G12&gt;0, 1.0, 0.0))</f>
        <v/>
      </c>
      <c r="J12" s="25">
        <f>IF(F12&gt;0, 1.0 - (H12/F12), IF(G12=0, 1.0, 0.0))</f>
        <v/>
      </c>
      <c r="K12" s="26" t="inlineStr">
        <is>
          <t>Pedido extra no previsto</t>
        </is>
      </c>
      <c r="L12" s="27" t="n">
        <v>0</v>
      </c>
      <c r="M12" s="28" t="n">
        <v>0</v>
      </c>
      <c r="N12" s="27" t="n">
        <v>0</v>
      </c>
      <c r="O12" s="28" t="n">
        <v>0</v>
      </c>
      <c r="P12" s="27" t="n">
        <v>0</v>
      </c>
      <c r="Q12" s="28" t="n">
        <v>0</v>
      </c>
      <c r="R12" s="22">
        <f>L12+N12+P12</f>
        <v/>
      </c>
      <c r="S12" s="23">
        <f>M12+O12+Q12</f>
        <v/>
      </c>
      <c r="T12" s="29">
        <f>S12-R12</f>
        <v/>
      </c>
      <c r="U12" s="30" t="inlineStr"/>
    </row>
    <row r="13" ht="20" customHeight="1">
      <c r="B13" s="20" t="inlineStr">
        <is>
          <t>ESPAÑA</t>
        </is>
      </c>
      <c r="C13" s="21" t="inlineStr">
        <is>
          <t>AGRICOLA DEL JUCAR DE CUENCA, S.L.</t>
        </is>
      </c>
      <c r="D13" s="20" t="inlineStr">
        <is>
          <t>C-L0020</t>
        </is>
      </c>
      <c r="E13" s="21" t="inlineStr">
        <is>
          <t>CODIBOR-L, 20 L</t>
        </is>
      </c>
      <c r="F13" s="22" t="n">
        <v>0</v>
      </c>
      <c r="G13" s="23" t="n">
        <v>200</v>
      </c>
      <c r="H13" s="22">
        <f>ABS(G13-F13)</f>
        <v/>
      </c>
      <c r="I13" s="24">
        <f>IF(F13&gt;0, G13/F13, IF(G13&gt;0, 1.0, 0.0))</f>
        <v/>
      </c>
      <c r="J13" s="25">
        <f>IF(F13&gt;0, 1.0 - (H13/F13), IF(G13=0, 1.0, 0.0))</f>
        <v/>
      </c>
      <c r="K13" s="26" t="inlineStr">
        <is>
          <t>Pedido extra no previsto</t>
        </is>
      </c>
      <c r="L13" s="27" t="n">
        <v>0</v>
      </c>
      <c r="M13" s="28" t="n">
        <v>0</v>
      </c>
      <c r="N13" s="27" t="n">
        <v>0</v>
      </c>
      <c r="O13" s="28" t="n">
        <v>0</v>
      </c>
      <c r="P13" s="27" t="n">
        <v>0</v>
      </c>
      <c r="Q13" s="28" t="n">
        <v>0</v>
      </c>
      <c r="R13" s="22">
        <f>L13+N13+P13</f>
        <v/>
      </c>
      <c r="S13" s="23">
        <f>M13+O13+Q13</f>
        <v/>
      </c>
      <c r="T13" s="29">
        <f>S13-R13</f>
        <v/>
      </c>
      <c r="U13" s="30" t="inlineStr"/>
    </row>
    <row r="14" ht="20" customHeight="1">
      <c r="B14" s="20" t="inlineStr">
        <is>
          <t>ESPAÑA</t>
        </is>
      </c>
      <c r="C14" s="21" t="inlineStr">
        <is>
          <t>AGROTÉCNICA DEL NORTE, S.L</t>
        </is>
      </c>
      <c r="D14" s="20" t="inlineStr">
        <is>
          <t>A-50(2)0005</t>
        </is>
      </c>
      <c r="E14" s="21" t="inlineStr">
        <is>
          <t>CODIORGAN-A50, 5 KG</t>
        </is>
      </c>
      <c r="F14" s="22" t="n">
        <v>0</v>
      </c>
      <c r="G14" s="23" t="n">
        <v>500</v>
      </c>
      <c r="H14" s="22">
        <f>ABS(G14-F14)</f>
        <v/>
      </c>
      <c r="I14" s="24">
        <f>IF(F14&gt;0, G14/F14, IF(G14&gt;0, 1.0, 0.0))</f>
        <v/>
      </c>
      <c r="J14" s="25">
        <f>IF(F14&gt;0, 1.0 - (H14/F14), IF(G14=0, 1.0, 0.0))</f>
        <v/>
      </c>
      <c r="K14" s="26" t="inlineStr">
        <is>
          <t>Pedido extra no previsto</t>
        </is>
      </c>
      <c r="L14" s="27" t="n">
        <v>0</v>
      </c>
      <c r="M14" s="28" t="n">
        <v>0</v>
      </c>
      <c r="N14" s="27" t="n">
        <v>0</v>
      </c>
      <c r="O14" s="28" t="n">
        <v>0</v>
      </c>
      <c r="P14" s="27" t="n">
        <v>0</v>
      </c>
      <c r="Q14" s="28" t="n">
        <v>0</v>
      </c>
      <c r="R14" s="22">
        <f>L14+N14+P14</f>
        <v/>
      </c>
      <c r="S14" s="23">
        <f>M14+O14+Q14</f>
        <v/>
      </c>
      <c r="T14" s="29">
        <f>S14-R14</f>
        <v/>
      </c>
      <c r="U14" s="30" t="inlineStr"/>
    </row>
    <row r="15" ht="20" customHeight="1">
      <c r="B15" s="20" t="inlineStr">
        <is>
          <t>ESPAÑA</t>
        </is>
      </c>
      <c r="C15" s="21" t="inlineStr">
        <is>
          <t>AGROTÉCNICA DEL NORTE, S.L</t>
        </is>
      </c>
      <c r="D15" s="20" t="inlineStr">
        <is>
          <t>AGRMG0005</t>
        </is>
      </c>
      <c r="E15" s="21" t="inlineStr">
        <is>
          <t>AGROXIGREEN-MG, 5 L</t>
        </is>
      </c>
      <c r="F15" s="22" t="n">
        <v>0</v>
      </c>
      <c r="G15" s="23" t="n">
        <v>300</v>
      </c>
      <c r="H15" s="22">
        <f>ABS(G15-F15)</f>
        <v/>
      </c>
      <c r="I15" s="24">
        <f>IF(F15&gt;0, G15/F15, IF(G15&gt;0, 1.0, 0.0))</f>
        <v/>
      </c>
      <c r="J15" s="25">
        <f>IF(F15&gt;0, 1.0 - (H15/F15), IF(G15=0, 1.0, 0.0))</f>
        <v/>
      </c>
      <c r="K15" s="26" t="inlineStr">
        <is>
          <t>Pedido extra no previsto</t>
        </is>
      </c>
      <c r="L15" s="27" t="n">
        <v>0</v>
      </c>
      <c r="M15" s="28" t="n">
        <v>0</v>
      </c>
      <c r="N15" s="27" t="n">
        <v>0</v>
      </c>
      <c r="O15" s="28" t="n">
        <v>0</v>
      </c>
      <c r="P15" s="27" t="n">
        <v>0</v>
      </c>
      <c r="Q15" s="28" t="n">
        <v>0</v>
      </c>
      <c r="R15" s="22">
        <f>L15+N15+P15</f>
        <v/>
      </c>
      <c r="S15" s="23">
        <f>M15+O15+Q15</f>
        <v/>
      </c>
      <c r="T15" s="29">
        <f>S15-R15</f>
        <v/>
      </c>
      <c r="U15" s="30" t="inlineStr"/>
    </row>
    <row r="16" ht="20" customHeight="1">
      <c r="B16" s="20" t="inlineStr">
        <is>
          <t>ESPAÑA</t>
        </is>
      </c>
      <c r="C16" s="21" t="inlineStr">
        <is>
          <t>AGROTÉCNICA DEL NORTE, S.L</t>
        </is>
      </c>
      <c r="D16" s="20" t="inlineStr">
        <is>
          <t>PT0005</t>
        </is>
      </c>
      <c r="E16" s="21" t="inlineStr">
        <is>
          <t>AGROPOTASION, 5 L</t>
        </is>
      </c>
      <c r="F16" s="22" t="n">
        <v>0</v>
      </c>
      <c r="G16" s="23" t="n">
        <v>400</v>
      </c>
      <c r="H16" s="22">
        <f>ABS(G16-F16)</f>
        <v/>
      </c>
      <c r="I16" s="24">
        <f>IF(F16&gt;0, G16/F16, IF(G16&gt;0, 1.0, 0.0))</f>
        <v/>
      </c>
      <c r="J16" s="25">
        <f>IF(F16&gt;0, 1.0 - (H16/F16), IF(G16=0, 1.0, 0.0))</f>
        <v/>
      </c>
      <c r="K16" s="26" t="inlineStr">
        <is>
          <t>Pedido extra no previsto</t>
        </is>
      </c>
      <c r="L16" s="27" t="n">
        <v>0</v>
      </c>
      <c r="M16" s="28" t="n">
        <v>0</v>
      </c>
      <c r="N16" s="27" t="n">
        <v>0</v>
      </c>
      <c r="O16" s="28" t="n">
        <v>0</v>
      </c>
      <c r="P16" s="27" t="n">
        <v>0</v>
      </c>
      <c r="Q16" s="28" t="n">
        <v>0</v>
      </c>
      <c r="R16" s="22">
        <f>L16+N16+P16</f>
        <v/>
      </c>
      <c r="S16" s="23">
        <f>M16+O16+Q16</f>
        <v/>
      </c>
      <c r="T16" s="29">
        <f>S16-R16</f>
        <v/>
      </c>
      <c r="U16" s="30" t="inlineStr"/>
    </row>
    <row r="17" ht="20" customHeight="1">
      <c r="B17" s="20" t="inlineStr">
        <is>
          <t>ESPAÑA</t>
        </is>
      </c>
      <c r="C17" s="21" t="inlineStr">
        <is>
          <t>AGROVEYCA,S.L</t>
        </is>
      </c>
      <c r="D17" s="20" t="inlineStr">
        <is>
          <t>A-50(2)0005</t>
        </is>
      </c>
      <c r="E17" s="21" t="inlineStr">
        <is>
          <t>CODIORGAN-A50, 5 KG</t>
        </is>
      </c>
      <c r="F17" s="22" t="n">
        <v>0</v>
      </c>
      <c r="G17" s="23" t="n">
        <v>400</v>
      </c>
      <c r="H17" s="22">
        <f>ABS(G17-F17)</f>
        <v/>
      </c>
      <c r="I17" s="24">
        <f>IF(F17&gt;0, G17/F17, IF(G17&gt;0, 1.0, 0.0))</f>
        <v/>
      </c>
      <c r="J17" s="25">
        <f>IF(F17&gt;0, 1.0 - (H17/F17), IF(G17=0, 1.0, 0.0))</f>
        <v/>
      </c>
      <c r="K17" s="26" t="inlineStr">
        <is>
          <t>Pedido extra no previsto</t>
        </is>
      </c>
      <c r="L17" s="27" t="n">
        <v>0</v>
      </c>
      <c r="M17" s="28" t="n">
        <v>0</v>
      </c>
      <c r="N17" s="27" t="n">
        <v>0</v>
      </c>
      <c r="O17" s="28" t="n">
        <v>0</v>
      </c>
      <c r="P17" s="27" t="n">
        <v>0</v>
      </c>
      <c r="Q17" s="28" t="n">
        <v>0</v>
      </c>
      <c r="R17" s="22">
        <f>L17+N17+P17</f>
        <v/>
      </c>
      <c r="S17" s="23">
        <f>M17+O17+Q17</f>
        <v/>
      </c>
      <c r="T17" s="29">
        <f>S17-R17</f>
        <v/>
      </c>
      <c r="U17" s="30" t="inlineStr"/>
    </row>
    <row r="18" ht="20" customHeight="1">
      <c r="B18" s="20" t="inlineStr">
        <is>
          <t>ESPAÑA</t>
        </is>
      </c>
      <c r="C18" s="21" t="inlineStr">
        <is>
          <t>AGROVEYCA,S.L</t>
        </is>
      </c>
      <c r="D18" s="20" t="inlineStr">
        <is>
          <t>BIO0020</t>
        </is>
      </c>
      <c r="E18" s="21" t="inlineStr">
        <is>
          <t>BIORAD-20, 20 L</t>
        </is>
      </c>
      <c r="F18" s="22" t="n">
        <v>400</v>
      </c>
      <c r="G18" s="23" t="n">
        <v>320</v>
      </c>
      <c r="H18" s="22">
        <f>ABS(G18-F18)</f>
        <v/>
      </c>
      <c r="I18" s="24">
        <f>IF(F18&gt;0, G18/F18, IF(G18&gt;0, 1.0, 0.0))</f>
        <v/>
      </c>
      <c r="J18" s="25">
        <f>IF(F18&gt;0, 1.0 - (H18/F18), IF(G18=0, 1.0, 0.0))</f>
        <v/>
      </c>
      <c r="K18" s="26" t="inlineStr"/>
      <c r="L18" s="27" t="n">
        <v>300</v>
      </c>
      <c r="M18" s="28" t="n">
        <v>300</v>
      </c>
      <c r="N18" s="27" t="n">
        <v>400</v>
      </c>
      <c r="O18" s="28" t="n">
        <v>400</v>
      </c>
      <c r="P18" s="27" t="n">
        <v>0</v>
      </c>
      <c r="Q18" s="28" t="n">
        <v>0</v>
      </c>
      <c r="R18" s="22">
        <f>L18+N18+P18</f>
        <v/>
      </c>
      <c r="S18" s="23">
        <f>M18+O18+Q18</f>
        <v/>
      </c>
      <c r="T18" s="29">
        <f>S18-R18</f>
        <v/>
      </c>
      <c r="U18" s="30" t="inlineStr"/>
    </row>
    <row r="19" ht="20" customHeight="1">
      <c r="B19" s="20" t="inlineStr">
        <is>
          <t>ESPAÑA</t>
        </is>
      </c>
      <c r="C19" s="21" t="inlineStr">
        <is>
          <t>AGROVEYCA,S.L</t>
        </is>
      </c>
      <c r="D19" s="20" t="inlineStr">
        <is>
          <t>BROTA0020</t>
        </is>
      </c>
      <c r="E19" s="21" t="inlineStr">
        <is>
          <t>BROTAMEC, 20 L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>
        <f>IF(F19&gt;0, 1.0 - (H19/F19), IF(G19=0, 1.0, 0.0))</f>
        <v/>
      </c>
      <c r="K19" s="26" t="inlineStr"/>
      <c r="L19" s="27" t="n">
        <v>640</v>
      </c>
      <c r="M19" s="28" t="n">
        <v>640</v>
      </c>
      <c r="N19" s="27" t="n">
        <v>0</v>
      </c>
      <c r="O19" s="28" t="n">
        <v>0</v>
      </c>
      <c r="P19" s="27" t="n">
        <v>0</v>
      </c>
      <c r="Q19" s="28" t="n">
        <v>0</v>
      </c>
      <c r="R19" s="22">
        <f>L19+N19+P19</f>
        <v/>
      </c>
      <c r="S19" s="23">
        <f>M19+O19+Q19</f>
        <v/>
      </c>
      <c r="T19" s="29">
        <f>S19-R19</f>
        <v/>
      </c>
      <c r="U19" s="30" t="inlineStr"/>
    </row>
    <row r="20" ht="20" customHeight="1">
      <c r="B20" s="20" t="inlineStr">
        <is>
          <t>ESPAÑA</t>
        </is>
      </c>
      <c r="C20" s="21" t="inlineStr">
        <is>
          <t>ASOC. HORTICULTORES DE VILLA DEL PRADO</t>
        </is>
      </c>
      <c r="D20" s="20" t="inlineStr">
        <is>
          <t>A-50(2)0005</t>
        </is>
      </c>
      <c r="E20" s="21" t="inlineStr">
        <is>
          <t>CODIORGAN A-50, 5 KG</t>
        </is>
      </c>
      <c r="F20" s="22" t="n">
        <v>0</v>
      </c>
      <c r="G20" s="23" t="n">
        <v>50</v>
      </c>
      <c r="H20" s="22">
        <f>ABS(G20-F20)</f>
        <v/>
      </c>
      <c r="I20" s="24">
        <f>IF(F20&gt;0, G20/F20, IF(G20&gt;0, 1.0, 0.0))</f>
        <v/>
      </c>
      <c r="J20" s="25">
        <f>IF(F20&gt;0, 1.0 - (H20/F20), IF(G20=0, 1.0, 0.0))</f>
        <v/>
      </c>
      <c r="K20" s="26" t="inlineStr">
        <is>
          <t>Pedido extra no previsto</t>
        </is>
      </c>
      <c r="L20" s="27" t="n">
        <v>0</v>
      </c>
      <c r="M20" s="28" t="n">
        <v>0</v>
      </c>
      <c r="N20" s="27" t="n">
        <v>0</v>
      </c>
      <c r="O20" s="28" t="n">
        <v>0</v>
      </c>
      <c r="P20" s="27" t="n">
        <v>0</v>
      </c>
      <c r="Q20" s="28" t="n">
        <v>0</v>
      </c>
      <c r="R20" s="22">
        <f>L20+N20+P20</f>
        <v/>
      </c>
      <c r="S20" s="23">
        <f>M20+O20+Q20</f>
        <v/>
      </c>
      <c r="T20" s="29">
        <f>S20-R20</f>
        <v/>
      </c>
      <c r="U20" s="30" t="inlineStr"/>
    </row>
    <row r="21" ht="20" customHeight="1">
      <c r="B21" s="20" t="inlineStr">
        <is>
          <t>ESPAÑA</t>
        </is>
      </c>
      <c r="C21" s="21" t="inlineStr">
        <is>
          <t>ASOC. HORTICULTORES DE VILLA DEL PRADO</t>
        </is>
      </c>
      <c r="D21" s="20" t="inlineStr">
        <is>
          <t>AVAN0005</t>
        </is>
      </c>
      <c r="E21" s="21" t="inlineStr">
        <is>
          <t>FLORAMEC AVANCE, 5 L</t>
        </is>
      </c>
      <c r="F21" s="22" t="n">
        <v>0</v>
      </c>
      <c r="G21" s="23" t="n">
        <v>100</v>
      </c>
      <c r="H21" s="22">
        <f>ABS(G21-F21)</f>
        <v/>
      </c>
      <c r="I21" s="24">
        <f>IF(F21&gt;0, G21/F21, IF(G21&gt;0, 1.0, 0.0))</f>
        <v/>
      </c>
      <c r="J21" s="25">
        <f>IF(F21&gt;0, 1.0 - (H21/F21), IF(G21=0, 1.0, 0.0))</f>
        <v/>
      </c>
      <c r="K21" s="26" t="inlineStr">
        <is>
          <t>Pedido extra no previsto</t>
        </is>
      </c>
      <c r="L21" s="27" t="n">
        <v>0</v>
      </c>
      <c r="M21" s="28" t="n">
        <v>0</v>
      </c>
      <c r="N21" s="27" t="n">
        <v>0</v>
      </c>
      <c r="O21" s="28" t="n">
        <v>0</v>
      </c>
      <c r="P21" s="27" t="n">
        <v>0</v>
      </c>
      <c r="Q21" s="28" t="n">
        <v>0</v>
      </c>
      <c r="R21" s="22">
        <f>L21+N21+P21</f>
        <v/>
      </c>
      <c r="S21" s="23">
        <f>M21+O21+Q21</f>
        <v/>
      </c>
      <c r="T21" s="29">
        <f>S21-R21</f>
        <v/>
      </c>
      <c r="U21" s="30" t="inlineStr"/>
    </row>
    <row r="22" ht="20" customHeight="1">
      <c r="B22" s="20" t="inlineStr">
        <is>
          <t>ESPAÑA</t>
        </is>
      </c>
      <c r="C22" s="21" t="inlineStr">
        <is>
          <t>ASOC. HORTICULTORES DE VILLA DEL PRADO</t>
        </is>
      </c>
      <c r="D22" s="20" t="inlineStr">
        <is>
          <t>C-CU0005</t>
        </is>
      </c>
      <c r="E22" s="21" t="inlineStr">
        <is>
          <t>CODICOBRE, 5 L</t>
        </is>
      </c>
      <c r="F22" s="22" t="n">
        <v>0</v>
      </c>
      <c r="G22" s="23" t="n">
        <v>20</v>
      </c>
      <c r="H22" s="22">
        <f>ABS(G22-F22)</f>
        <v/>
      </c>
      <c r="I22" s="24">
        <f>IF(F22&gt;0, G22/F22, IF(G22&gt;0, 1.0, 0.0))</f>
        <v/>
      </c>
      <c r="J22" s="25">
        <f>IF(F22&gt;0, 1.0 - (H22/F22), IF(G22=0, 1.0, 0.0))</f>
        <v/>
      </c>
      <c r="K22" s="26" t="inlineStr">
        <is>
          <t>Pedido extra no previsto</t>
        </is>
      </c>
      <c r="L22" s="27" t="n">
        <v>0</v>
      </c>
      <c r="M22" s="28" t="n">
        <v>0</v>
      </c>
      <c r="N22" s="27" t="n">
        <v>0</v>
      </c>
      <c r="O22" s="28" t="n">
        <v>0</v>
      </c>
      <c r="P22" s="27" t="n">
        <v>0</v>
      </c>
      <c r="Q22" s="28" t="n">
        <v>0</v>
      </c>
      <c r="R22" s="22">
        <f>L22+N22+P22</f>
        <v/>
      </c>
      <c r="S22" s="23">
        <f>M22+O22+Q22</f>
        <v/>
      </c>
      <c r="T22" s="29">
        <f>S22-R22</f>
        <v/>
      </c>
      <c r="U22" s="30" t="inlineStr"/>
    </row>
    <row r="23" ht="20" customHeight="1">
      <c r="B23" s="20" t="inlineStr">
        <is>
          <t>ESPAÑA</t>
        </is>
      </c>
      <c r="C23" s="21" t="inlineStr">
        <is>
          <t>ASOC. HORTICULTORES DE VILLA DEL PRADO</t>
        </is>
      </c>
      <c r="D23" s="20" t="inlineStr">
        <is>
          <t>S0020</t>
        </is>
      </c>
      <c r="E23" s="21" t="inlineStr">
        <is>
          <t>SALWAX STAR, 20 L</t>
        </is>
      </c>
      <c r="F23" s="22" t="n">
        <v>0</v>
      </c>
      <c r="G23" s="23" t="n">
        <v>40</v>
      </c>
      <c r="H23" s="22">
        <f>ABS(G23-F23)</f>
        <v/>
      </c>
      <c r="I23" s="24">
        <f>IF(F23&gt;0, G23/F23, IF(G23&gt;0, 1.0, 0.0))</f>
        <v/>
      </c>
      <c r="J23" s="25">
        <f>IF(F23&gt;0, 1.0 - (H23/F23), IF(G23=0, 1.0, 0.0))</f>
        <v/>
      </c>
      <c r="K23" s="26" t="inlineStr">
        <is>
          <t>Pedido extra no previsto</t>
        </is>
      </c>
      <c r="L23" s="27" t="n">
        <v>0</v>
      </c>
      <c r="M23" s="28" t="n">
        <v>0</v>
      </c>
      <c r="N23" s="27" t="n">
        <v>0</v>
      </c>
      <c r="O23" s="28" t="n">
        <v>0</v>
      </c>
      <c r="P23" s="27" t="n">
        <v>0</v>
      </c>
      <c r="Q23" s="28" t="n">
        <v>0</v>
      </c>
      <c r="R23" s="22">
        <f>L23+N23+P23</f>
        <v/>
      </c>
      <c r="S23" s="23">
        <f>M23+O23+Q23</f>
        <v/>
      </c>
      <c r="T23" s="29">
        <f>S23-R23</f>
        <v/>
      </c>
      <c r="U23" s="30" t="inlineStr"/>
    </row>
    <row r="24" ht="20" customHeight="1">
      <c r="B24" s="20" t="inlineStr">
        <is>
          <t>ESPAÑA</t>
        </is>
      </c>
      <c r="C24" s="21" t="inlineStr">
        <is>
          <t>BARDENAS COMERCIAL, S.L.</t>
        </is>
      </c>
      <c r="D24" s="20" t="inlineStr">
        <is>
          <t>AGRMG0005</t>
        </is>
      </c>
      <c r="E24" s="21" t="inlineStr">
        <is>
          <t>AGROXIGREEN-MG, 5 L</t>
        </is>
      </c>
      <c r="F24" s="22" t="n">
        <v>0</v>
      </c>
      <c r="G24" s="23" t="n">
        <v>300</v>
      </c>
      <c r="H24" s="22">
        <f>ABS(G24-F24)</f>
        <v/>
      </c>
      <c r="I24" s="24">
        <f>IF(F24&gt;0, G24/F24, IF(G24&gt;0, 1.0, 0.0))</f>
        <v/>
      </c>
      <c r="J24" s="25">
        <f>IF(F24&gt;0, 1.0 - (H24/F24), IF(G24=0, 1.0, 0.0))</f>
        <v/>
      </c>
      <c r="K24" s="26" t="inlineStr">
        <is>
          <t>Pedido extra no previsto</t>
        </is>
      </c>
      <c r="L24" s="27" t="n">
        <v>0</v>
      </c>
      <c r="M24" s="28" t="n">
        <v>0</v>
      </c>
      <c r="N24" s="27" t="n">
        <v>0</v>
      </c>
      <c r="O24" s="28" t="n">
        <v>0</v>
      </c>
      <c r="P24" s="27" t="n">
        <v>0</v>
      </c>
      <c r="Q24" s="28" t="n">
        <v>0</v>
      </c>
      <c r="R24" s="22">
        <f>L24+N24+P24</f>
        <v/>
      </c>
      <c r="S24" s="23">
        <f>M24+O24+Q24</f>
        <v/>
      </c>
      <c r="T24" s="29">
        <f>S24-R24</f>
        <v/>
      </c>
      <c r="U24" s="30" t="inlineStr"/>
    </row>
    <row r="25" ht="20" customHeight="1">
      <c r="B25" s="20" t="inlineStr">
        <is>
          <t>ESPAÑA</t>
        </is>
      </c>
      <c r="C25" s="21" t="inlineStr">
        <is>
          <t>BARDENAS COMERCIAL, S.L.</t>
        </is>
      </c>
      <c r="D25" s="20" t="inlineStr">
        <is>
          <t>PT0005</t>
        </is>
      </c>
      <c r="E25" s="21" t="inlineStr">
        <is>
          <t>AGROPOTASION, 5 L</t>
        </is>
      </c>
      <c r="F25" s="22" t="n">
        <v>0</v>
      </c>
      <c r="G25" s="23" t="n">
        <v>300</v>
      </c>
      <c r="H25" s="22">
        <f>ABS(G25-F25)</f>
        <v/>
      </c>
      <c r="I25" s="24">
        <f>IF(F25&gt;0, G25/F25, IF(G25&gt;0, 1.0, 0.0))</f>
        <v/>
      </c>
      <c r="J25" s="25">
        <f>IF(F25&gt;0, 1.0 - (H25/F25), IF(G25=0, 1.0, 0.0))</f>
        <v/>
      </c>
      <c r="K25" s="26" t="inlineStr">
        <is>
          <t>Pedido extra no previsto</t>
        </is>
      </c>
      <c r="L25" s="27" t="n">
        <v>0</v>
      </c>
      <c r="M25" s="28" t="n">
        <v>0</v>
      </c>
      <c r="N25" s="27" t="n">
        <v>0</v>
      </c>
      <c r="O25" s="28" t="n">
        <v>0</v>
      </c>
      <c r="P25" s="27" t="n">
        <v>0</v>
      </c>
      <c r="Q25" s="28" t="n">
        <v>0</v>
      </c>
      <c r="R25" s="22">
        <f>L25+N25+P25</f>
        <v/>
      </c>
      <c r="S25" s="23">
        <f>M25+O25+Q25</f>
        <v/>
      </c>
      <c r="T25" s="29">
        <f>S25-R25</f>
        <v/>
      </c>
      <c r="U25" s="30" t="inlineStr"/>
    </row>
    <row r="26" ht="20" customHeight="1">
      <c r="B26" s="20" t="inlineStr">
        <is>
          <t>ESPAÑA</t>
        </is>
      </c>
      <c r="C26" s="21" t="inlineStr">
        <is>
          <t>COMERCIAL NORTE AGROCAMPO, S.L.</t>
        </is>
      </c>
      <c r="D26" s="20" t="inlineStr">
        <is>
          <t>A-50(2)0020</t>
        </is>
      </c>
      <c r="E26" s="21" t="inlineStr">
        <is>
          <t>CODIORGAN-A50, 20 KG</t>
        </is>
      </c>
      <c r="F26" s="22" t="n">
        <v>0</v>
      </c>
      <c r="G26" s="23" t="n">
        <v>40</v>
      </c>
      <c r="H26" s="22">
        <f>ABS(G26-F26)</f>
        <v/>
      </c>
      <c r="I26" s="24">
        <f>IF(F26&gt;0, G26/F26, IF(G26&gt;0, 1.0, 0.0))</f>
        <v/>
      </c>
      <c r="J26" s="25">
        <f>IF(F26&gt;0, 1.0 - (H26/F26), IF(G26=0, 1.0, 0.0))</f>
        <v/>
      </c>
      <c r="K26" s="26" t="inlineStr">
        <is>
          <t>Pedido extra no previsto</t>
        </is>
      </c>
      <c r="L26" s="27" t="n">
        <v>0</v>
      </c>
      <c r="M26" s="28" t="n">
        <v>0</v>
      </c>
      <c r="N26" s="27" t="n">
        <v>0</v>
      </c>
      <c r="O26" s="28" t="n">
        <v>0</v>
      </c>
      <c r="P26" s="27" t="n">
        <v>0</v>
      </c>
      <c r="Q26" s="28" t="n">
        <v>0</v>
      </c>
      <c r="R26" s="22">
        <f>L26+N26+P26</f>
        <v/>
      </c>
      <c r="S26" s="23">
        <f>M26+O26+Q26</f>
        <v/>
      </c>
      <c r="T26" s="29">
        <f>S26-R26</f>
        <v/>
      </c>
      <c r="U26" s="30" t="inlineStr"/>
    </row>
    <row r="27" ht="20" customHeight="1">
      <c r="B27" s="20" t="inlineStr">
        <is>
          <t>ESPAÑA</t>
        </is>
      </c>
      <c r="C27" s="21" t="inlineStr">
        <is>
          <t>COMERCIAL NORTE AGROCAMPO, S.L.</t>
        </is>
      </c>
      <c r="D27" s="20" t="inlineStr">
        <is>
          <t>AN0005</t>
        </is>
      </c>
      <c r="E27" s="21" t="inlineStr">
        <is>
          <t>ALCAPLANT NEW, 5 KG</t>
        </is>
      </c>
      <c r="F27" s="22" t="n">
        <v>0</v>
      </c>
      <c r="G27" s="23" t="n">
        <v>20</v>
      </c>
      <c r="H27" s="22">
        <f>ABS(G27-F27)</f>
        <v/>
      </c>
      <c r="I27" s="24">
        <f>IF(F27&gt;0, G27/F27, IF(G27&gt;0, 1.0, 0.0))</f>
        <v/>
      </c>
      <c r="J27" s="25">
        <f>IF(F27&gt;0, 1.0 - (H27/F27), IF(G27=0, 1.0, 0.0))</f>
        <v/>
      </c>
      <c r="K27" s="26" t="inlineStr">
        <is>
          <t>Pedido extra no previsto</t>
        </is>
      </c>
      <c r="L27" s="27" t="n">
        <v>0</v>
      </c>
      <c r="M27" s="28" t="n">
        <v>0</v>
      </c>
      <c r="N27" s="27" t="n">
        <v>0</v>
      </c>
      <c r="O27" s="28" t="n">
        <v>0</v>
      </c>
      <c r="P27" s="27" t="n">
        <v>0</v>
      </c>
      <c r="Q27" s="28" t="n">
        <v>0</v>
      </c>
      <c r="R27" s="22">
        <f>L27+N27+P27</f>
        <v/>
      </c>
      <c r="S27" s="23">
        <f>M27+O27+Q27</f>
        <v/>
      </c>
      <c r="T27" s="29">
        <f>S27-R27</f>
        <v/>
      </c>
      <c r="U27" s="30" t="inlineStr"/>
    </row>
    <row r="28" ht="20" customHeight="1">
      <c r="B28" s="20" t="inlineStr">
        <is>
          <t>ESPAÑA</t>
        </is>
      </c>
      <c r="C28" s="21" t="inlineStr">
        <is>
          <t>COMERCIAL NORTE AGROCAMPO, S.L.</t>
        </is>
      </c>
      <c r="D28" s="20" t="inlineStr">
        <is>
          <t>BR-590005</t>
        </is>
      </c>
      <c r="E28" s="21" t="inlineStr">
        <is>
          <t>BR-59, 5 KG</t>
        </is>
      </c>
      <c r="F28" s="22" t="n">
        <v>0</v>
      </c>
      <c r="G28" s="23" t="n">
        <v>60</v>
      </c>
      <c r="H28" s="22">
        <f>ABS(G28-F28)</f>
        <v/>
      </c>
      <c r="I28" s="24">
        <f>IF(F28&gt;0, G28/F28, IF(G28&gt;0, 1.0, 0.0))</f>
        <v/>
      </c>
      <c r="J28" s="25">
        <f>IF(F28&gt;0, 1.0 - (H28/F28), IF(G28=0, 1.0, 0.0))</f>
        <v/>
      </c>
      <c r="K28" s="26" t="inlineStr">
        <is>
          <t>Pedido extra no previsto</t>
        </is>
      </c>
      <c r="L28" s="27" t="n">
        <v>0</v>
      </c>
      <c r="M28" s="28" t="n">
        <v>0</v>
      </c>
      <c r="N28" s="27" t="n">
        <v>0</v>
      </c>
      <c r="O28" s="28" t="n">
        <v>0</v>
      </c>
      <c r="P28" s="27" t="n">
        <v>0</v>
      </c>
      <c r="Q28" s="28" t="n">
        <v>0</v>
      </c>
      <c r="R28" s="22">
        <f>L28+N28+P28</f>
        <v/>
      </c>
      <c r="S28" s="23">
        <f>M28+O28+Q28</f>
        <v/>
      </c>
      <c r="T28" s="29">
        <f>S28-R28</f>
        <v/>
      </c>
      <c r="U28" s="30" t="inlineStr"/>
    </row>
    <row r="29" ht="20" customHeight="1">
      <c r="B29" s="20" t="inlineStr">
        <is>
          <t>ESPAÑA</t>
        </is>
      </c>
      <c r="C29" s="21" t="inlineStr">
        <is>
          <t>COMERCIAL NORTE AGROCAMPO, S.L.</t>
        </is>
      </c>
      <c r="D29" s="20" t="inlineStr">
        <is>
          <t>BROTA0020</t>
        </is>
      </c>
      <c r="E29" s="21" t="inlineStr">
        <is>
          <t>BROTAMEC, 20 L</t>
        </is>
      </c>
      <c r="F29" s="22" t="n">
        <v>0</v>
      </c>
      <c r="G29" s="23" t="n">
        <v>20</v>
      </c>
      <c r="H29" s="22">
        <f>ABS(G29-F29)</f>
        <v/>
      </c>
      <c r="I29" s="24">
        <f>IF(F29&gt;0, G29/F29, IF(G29&gt;0, 1.0, 0.0))</f>
        <v/>
      </c>
      <c r="J29" s="25">
        <f>IF(F29&gt;0, 1.0 - (H29/F29), IF(G29=0, 1.0, 0.0))</f>
        <v/>
      </c>
      <c r="K29" s="26" t="inlineStr">
        <is>
          <t>Pedido extra no previsto</t>
        </is>
      </c>
      <c r="L29" s="27" t="n">
        <v>0</v>
      </c>
      <c r="M29" s="28" t="n">
        <v>0</v>
      </c>
      <c r="N29" s="27" t="n">
        <v>0</v>
      </c>
      <c r="O29" s="28" t="n">
        <v>0</v>
      </c>
      <c r="P29" s="27" t="n">
        <v>0</v>
      </c>
      <c r="Q29" s="28" t="n">
        <v>0</v>
      </c>
      <c r="R29" s="22">
        <f>L29+N29+P29</f>
        <v/>
      </c>
      <c r="S29" s="23">
        <f>M29+O29+Q29</f>
        <v/>
      </c>
      <c r="T29" s="29">
        <f>S29-R29</f>
        <v/>
      </c>
      <c r="U29" s="30" t="inlineStr"/>
    </row>
    <row r="30" ht="20" customHeight="1">
      <c r="B30" s="20" t="inlineStr">
        <is>
          <t>ESPAÑA</t>
        </is>
      </c>
      <c r="C30" s="21" t="inlineStr">
        <is>
          <t>COMERCIAL NORTE AGROCAMPO, S.L.</t>
        </is>
      </c>
      <c r="D30" s="20" t="inlineStr">
        <is>
          <t>C-CU0005</t>
        </is>
      </c>
      <c r="E30" s="21" t="inlineStr">
        <is>
          <t>CODICOBRE, 5 L</t>
        </is>
      </c>
      <c r="F30" s="22" t="n">
        <v>0</v>
      </c>
      <c r="G30" s="23" t="n">
        <v>20</v>
      </c>
      <c r="H30" s="22">
        <f>ABS(G30-F30)</f>
        <v/>
      </c>
      <c r="I30" s="24">
        <f>IF(F30&gt;0, G30/F30, IF(G30&gt;0, 1.0, 0.0))</f>
        <v/>
      </c>
      <c r="J30" s="25">
        <f>IF(F30&gt;0, 1.0 - (H30/F30), IF(G30=0, 1.0, 0.0))</f>
        <v/>
      </c>
      <c r="K30" s="26" t="inlineStr">
        <is>
          <t>Pedido extra no previsto</t>
        </is>
      </c>
      <c r="L30" s="27" t="n">
        <v>0</v>
      </c>
      <c r="M30" s="28" t="n">
        <v>0</v>
      </c>
      <c r="N30" s="27" t="n">
        <v>0</v>
      </c>
      <c r="O30" s="28" t="n">
        <v>0</v>
      </c>
      <c r="P30" s="27" t="n">
        <v>0</v>
      </c>
      <c r="Q30" s="28" t="n">
        <v>0</v>
      </c>
      <c r="R30" s="22">
        <f>L30+N30+P30</f>
        <v/>
      </c>
      <c r="S30" s="23">
        <f>M30+O30+Q30</f>
        <v/>
      </c>
      <c r="T30" s="29">
        <f>S30-R30</f>
        <v/>
      </c>
      <c r="U30" s="30" t="inlineStr"/>
    </row>
    <row r="31" ht="20" customHeight="1">
      <c r="B31" s="20" t="inlineStr">
        <is>
          <t>ESPAÑA</t>
        </is>
      </c>
      <c r="C31" s="21" t="inlineStr">
        <is>
          <t>COMERCIAL NORTE AGROCAMPO, S.L.</t>
        </is>
      </c>
      <c r="D31" s="20" t="inlineStr">
        <is>
          <t>PT0020</t>
        </is>
      </c>
      <c r="E31" s="21" t="inlineStr">
        <is>
          <t>AGROPOTASION, 20 L</t>
        </is>
      </c>
      <c r="F31" s="22" t="n">
        <v>0</v>
      </c>
      <c r="G31" s="23" t="n">
        <v>20</v>
      </c>
      <c r="H31" s="22">
        <f>ABS(G31-F31)</f>
        <v/>
      </c>
      <c r="I31" s="24">
        <f>IF(F31&gt;0, G31/F31, IF(G31&gt;0, 1.0, 0.0))</f>
        <v/>
      </c>
      <c r="J31" s="25">
        <f>IF(F31&gt;0, 1.0 - (H31/F31), IF(G31=0, 1.0, 0.0))</f>
        <v/>
      </c>
      <c r="K31" s="26" t="inlineStr">
        <is>
          <t>Pedido extra no previsto</t>
        </is>
      </c>
      <c r="L31" s="27" t="n">
        <v>0</v>
      </c>
      <c r="M31" s="28" t="n">
        <v>0</v>
      </c>
      <c r="N31" s="27" t="n">
        <v>0</v>
      </c>
      <c r="O31" s="28" t="n">
        <v>0</v>
      </c>
      <c r="P31" s="27" t="n">
        <v>0</v>
      </c>
      <c r="Q31" s="28" t="n">
        <v>0</v>
      </c>
      <c r="R31" s="22">
        <f>L31+N31+P31</f>
        <v/>
      </c>
      <c r="S31" s="23">
        <f>M31+O31+Q31</f>
        <v/>
      </c>
      <c r="T31" s="29">
        <f>S31-R31</f>
        <v/>
      </c>
      <c r="U31" s="30" t="inlineStr"/>
    </row>
    <row r="32" ht="20" customHeight="1">
      <c r="B32" s="20" t="inlineStr">
        <is>
          <t>ESPAÑA</t>
        </is>
      </c>
      <c r="C32" s="21" t="inlineStr">
        <is>
          <t>COMERCIAL NORTE AGROCAMPO, S.L.</t>
        </is>
      </c>
      <c r="D32" s="20" t="inlineStr">
        <is>
          <t>S0020</t>
        </is>
      </c>
      <c r="E32" s="21" t="inlineStr">
        <is>
          <t>SALWAX STAR, 20 L</t>
        </is>
      </c>
      <c r="F32" s="22" t="n">
        <v>0</v>
      </c>
      <c r="G32" s="23" t="n">
        <v>40</v>
      </c>
      <c r="H32" s="22">
        <f>ABS(G32-F32)</f>
        <v/>
      </c>
      <c r="I32" s="24">
        <f>IF(F32&gt;0, G32/F32, IF(G32&gt;0, 1.0, 0.0))</f>
        <v/>
      </c>
      <c r="J32" s="25">
        <f>IF(F32&gt;0, 1.0 - (H32/F32), IF(G32=0, 1.0, 0.0))</f>
        <v/>
      </c>
      <c r="K32" s="26" t="inlineStr">
        <is>
          <t>Pedido extra no previsto</t>
        </is>
      </c>
      <c r="L32" s="27" t="n">
        <v>0</v>
      </c>
      <c r="M32" s="28" t="n">
        <v>0</v>
      </c>
      <c r="N32" s="27" t="n">
        <v>0</v>
      </c>
      <c r="O32" s="28" t="n">
        <v>0</v>
      </c>
      <c r="P32" s="27" t="n">
        <v>0</v>
      </c>
      <c r="Q32" s="28" t="n">
        <v>0</v>
      </c>
      <c r="R32" s="22">
        <f>L32+N32+P32</f>
        <v/>
      </c>
      <c r="S32" s="23">
        <f>M32+O32+Q32</f>
        <v/>
      </c>
      <c r="T32" s="29">
        <f>S32-R32</f>
        <v/>
      </c>
      <c r="U32" s="30" t="inlineStr"/>
    </row>
    <row r="33" ht="20" customHeight="1">
      <c r="B33" s="20" t="inlineStr">
        <is>
          <t>ESPAÑA</t>
        </is>
      </c>
      <c r="C33" s="21" t="inlineStr">
        <is>
          <t>MAJ AGROQUIMICOS S.L.</t>
        </is>
      </c>
      <c r="D33" s="20" t="inlineStr">
        <is>
          <t>CPLUS0005</t>
        </is>
      </c>
      <c r="E33" s="21" t="inlineStr">
        <is>
          <t>CALCIPLUS, 5 L</t>
        </is>
      </c>
      <c r="F33" s="22" t="n">
        <v>0</v>
      </c>
      <c r="G33" s="23" t="n">
        <v>20</v>
      </c>
      <c r="H33" s="22">
        <f>ABS(G33-F33)</f>
        <v/>
      </c>
      <c r="I33" s="24">
        <f>IF(F33&gt;0, G33/F33, IF(G33&gt;0, 1.0, 0.0))</f>
        <v/>
      </c>
      <c r="J33" s="25">
        <f>IF(F33&gt;0, 1.0 - (H33/F33), IF(G33=0, 1.0, 0.0))</f>
        <v/>
      </c>
      <c r="K33" s="26" t="inlineStr">
        <is>
          <t>Pedido extra no previsto</t>
        </is>
      </c>
      <c r="L33" s="27" t="n">
        <v>0</v>
      </c>
      <c r="M33" s="28" t="n">
        <v>0</v>
      </c>
      <c r="N33" s="27" t="n">
        <v>0</v>
      </c>
      <c r="O33" s="28" t="n">
        <v>0</v>
      </c>
      <c r="P33" s="27" t="n">
        <v>0</v>
      </c>
      <c r="Q33" s="28" t="n">
        <v>0</v>
      </c>
      <c r="R33" s="22">
        <f>L33+N33+P33</f>
        <v/>
      </c>
      <c r="S33" s="23">
        <f>M33+O33+Q33</f>
        <v/>
      </c>
      <c r="T33" s="29">
        <f>S33-R33</f>
        <v/>
      </c>
      <c r="U33" s="30" t="inlineStr"/>
    </row>
    <row r="34" ht="20" customHeight="1">
      <c r="B34" s="20" t="inlineStr">
        <is>
          <t>ESPAÑA</t>
        </is>
      </c>
      <c r="C34" s="21" t="inlineStr">
        <is>
          <t>MAJ AGROQUIMICOS S.L.</t>
        </is>
      </c>
      <c r="D34" s="20" t="inlineStr">
        <is>
          <t>FTK0005</t>
        </is>
      </c>
      <c r="E34" s="21" t="inlineStr">
        <is>
          <t>FITOKONTROL CA FLOW, 5 KG</t>
        </is>
      </c>
      <c r="F34" s="22" t="n">
        <v>0</v>
      </c>
      <c r="G34" s="23" t="n">
        <v>40</v>
      </c>
      <c r="H34" s="22">
        <f>ABS(G34-F34)</f>
        <v/>
      </c>
      <c r="I34" s="24">
        <f>IF(F34&gt;0, G34/F34, IF(G34&gt;0, 1.0, 0.0))</f>
        <v/>
      </c>
      <c r="J34" s="25">
        <f>IF(F34&gt;0, 1.0 - (H34/F34), IF(G34=0, 1.0, 0.0))</f>
        <v/>
      </c>
      <c r="K34" s="26" t="inlineStr">
        <is>
          <t>Pedido extra no previsto</t>
        </is>
      </c>
      <c r="L34" s="27" t="n">
        <v>0</v>
      </c>
      <c r="M34" s="28" t="n">
        <v>0</v>
      </c>
      <c r="N34" s="27" t="n">
        <v>0</v>
      </c>
      <c r="O34" s="28" t="n">
        <v>0</v>
      </c>
      <c r="P34" s="27" t="n">
        <v>0</v>
      </c>
      <c r="Q34" s="28" t="n">
        <v>0</v>
      </c>
      <c r="R34" s="22">
        <f>L34+N34+P34</f>
        <v/>
      </c>
      <c r="S34" s="23">
        <f>M34+O34+Q34</f>
        <v/>
      </c>
      <c r="T34" s="29">
        <f>S34-R34</f>
        <v/>
      </c>
      <c r="U34" s="30" t="inlineStr"/>
    </row>
    <row r="35" ht="20" customHeight="1">
      <c r="B35" s="20" t="inlineStr">
        <is>
          <t>ESPAÑA</t>
        </is>
      </c>
      <c r="C35" s="21" t="inlineStr">
        <is>
          <t>MUNDOHUERTO-CARMEN SOLAZ BLANCO</t>
        </is>
      </c>
      <c r="D35" s="20" t="inlineStr">
        <is>
          <t>PT0001</t>
        </is>
      </c>
      <c r="E35" s="21" t="inlineStr">
        <is>
          <t>AGROPOTASION, 1 L</t>
        </is>
      </c>
      <c r="F35" s="22" t="n">
        <v>0</v>
      </c>
      <c r="G35" s="23" t="n">
        <v>24</v>
      </c>
      <c r="H35" s="22">
        <f>ABS(G35-F35)</f>
        <v/>
      </c>
      <c r="I35" s="24">
        <f>IF(F35&gt;0, G35/F35, IF(G35&gt;0, 1.0, 0.0))</f>
        <v/>
      </c>
      <c r="J35" s="25">
        <f>IF(F35&gt;0, 1.0 - (H35/F35), IF(G35=0, 1.0, 0.0))</f>
        <v/>
      </c>
      <c r="K35" s="26" t="inlineStr">
        <is>
          <t>Pedido extra no previsto</t>
        </is>
      </c>
      <c r="L35" s="27" t="n">
        <v>0</v>
      </c>
      <c r="M35" s="28" t="n">
        <v>0</v>
      </c>
      <c r="N35" s="27" t="n">
        <v>0</v>
      </c>
      <c r="O35" s="28" t="n">
        <v>0</v>
      </c>
      <c r="P35" s="27" t="n">
        <v>0</v>
      </c>
      <c r="Q35" s="28" t="n">
        <v>0</v>
      </c>
      <c r="R35" s="22">
        <f>L35+N35+P35</f>
        <v/>
      </c>
      <c r="S35" s="23">
        <f>M35+O35+Q35</f>
        <v/>
      </c>
      <c r="T35" s="29">
        <f>S35-R35</f>
        <v/>
      </c>
      <c r="U35" s="30" t="inlineStr"/>
    </row>
    <row r="36" ht="20" customHeight="1">
      <c r="B36" s="20" t="inlineStr">
        <is>
          <t>ESPAÑA</t>
        </is>
      </c>
      <c r="C36" s="21" t="inlineStr">
        <is>
          <t>MUNDOHUERTO-CARMEN SOLAZ BLANCO</t>
        </is>
      </c>
      <c r="D36" s="20" t="inlineStr">
        <is>
          <t>PT0005</t>
        </is>
      </c>
      <c r="E36" s="21" t="inlineStr">
        <is>
          <t>AGROPOTASION, 5 L</t>
        </is>
      </c>
      <c r="F36" s="22" t="n">
        <v>0</v>
      </c>
      <c r="G36" s="23" t="n">
        <v>80</v>
      </c>
      <c r="H36" s="22">
        <f>ABS(G36-F36)</f>
        <v/>
      </c>
      <c r="I36" s="24">
        <f>IF(F36&gt;0, G36/F36, IF(G36&gt;0, 1.0, 0.0))</f>
        <v/>
      </c>
      <c r="J36" s="25">
        <f>IF(F36&gt;0, 1.0 - (H36/F36), IF(G36=0, 1.0, 0.0))</f>
        <v/>
      </c>
      <c r="K36" s="26" t="inlineStr">
        <is>
          <t>Pedido extra no previsto</t>
        </is>
      </c>
      <c r="L36" s="27" t="n">
        <v>0</v>
      </c>
      <c r="M36" s="28" t="n">
        <v>0</v>
      </c>
      <c r="N36" s="27" t="n">
        <v>0</v>
      </c>
      <c r="O36" s="28" t="n">
        <v>0</v>
      </c>
      <c r="P36" s="27" t="n">
        <v>0</v>
      </c>
      <c r="Q36" s="28" t="n">
        <v>0</v>
      </c>
      <c r="R36" s="22">
        <f>L36+N36+P36</f>
        <v/>
      </c>
      <c r="S36" s="23">
        <f>M36+O36+Q36</f>
        <v/>
      </c>
      <c r="T36" s="29">
        <f>S36-R36</f>
        <v/>
      </c>
      <c r="U36" s="30" t="inlineStr"/>
    </row>
    <row r="37" ht="20" customHeight="1">
      <c r="B37" s="20" t="inlineStr">
        <is>
          <t>ESPAÑA</t>
        </is>
      </c>
      <c r="C37" s="21" t="inlineStr">
        <is>
          <t>MUNDOHUERTO-CARMEN SOLAZ BLANCO</t>
        </is>
      </c>
      <c r="D37" s="20" t="inlineStr">
        <is>
          <t>PT0020</t>
        </is>
      </c>
      <c r="E37" s="21" t="inlineStr">
        <is>
          <t>AGROPOTASION, 20 L</t>
        </is>
      </c>
      <c r="F37" s="22" t="n">
        <v>0</v>
      </c>
      <c r="G37" s="23" t="n">
        <v>60</v>
      </c>
      <c r="H37" s="22">
        <f>ABS(G37-F37)</f>
        <v/>
      </c>
      <c r="I37" s="24">
        <f>IF(F37&gt;0, G37/F37, IF(G37&gt;0, 1.0, 0.0))</f>
        <v/>
      </c>
      <c r="J37" s="25">
        <f>IF(F37&gt;0, 1.0 - (H37/F37), IF(G37=0, 1.0, 0.0))</f>
        <v/>
      </c>
      <c r="K37" s="26" t="inlineStr">
        <is>
          <t>Pedido extra no previsto</t>
        </is>
      </c>
      <c r="L37" s="27" t="n">
        <v>0</v>
      </c>
      <c r="M37" s="28" t="n">
        <v>0</v>
      </c>
      <c r="N37" s="27" t="n">
        <v>0</v>
      </c>
      <c r="O37" s="28" t="n">
        <v>0</v>
      </c>
      <c r="P37" s="27" t="n">
        <v>0</v>
      </c>
      <c r="Q37" s="28" t="n">
        <v>0</v>
      </c>
      <c r="R37" s="22">
        <f>L37+N37+P37</f>
        <v/>
      </c>
      <c r="S37" s="23">
        <f>M37+O37+Q37</f>
        <v/>
      </c>
      <c r="T37" s="29">
        <f>S37-R37</f>
        <v/>
      </c>
      <c r="U37" s="30" t="inlineStr"/>
    </row>
    <row r="38" ht="20" customHeight="1">
      <c r="B38" s="20" t="inlineStr">
        <is>
          <t>ESPAÑA</t>
        </is>
      </c>
      <c r="C38" s="21" t="inlineStr">
        <is>
          <t>SAFIAGRO, S.A.</t>
        </is>
      </c>
      <c r="D38" s="20" t="inlineStr">
        <is>
          <t>AGXK0020</t>
        </is>
      </c>
      <c r="E38" s="21" t="inlineStr">
        <is>
          <t>AGROXILATO-K, 20 L</t>
        </is>
      </c>
      <c r="F38" s="22" t="n">
        <v>0</v>
      </c>
      <c r="G38" s="23" t="n">
        <v>640</v>
      </c>
      <c r="H38" s="22">
        <f>ABS(G38-F38)</f>
        <v/>
      </c>
      <c r="I38" s="24">
        <f>IF(F38&gt;0, G38/F38, IF(G38&gt;0, 1.0, 0.0))</f>
        <v/>
      </c>
      <c r="J38" s="25">
        <f>IF(F38&gt;0, 1.0 - (H38/F38), IF(G38=0, 1.0, 0.0))</f>
        <v/>
      </c>
      <c r="K38" s="26" t="inlineStr">
        <is>
          <t>Pedido extra no previsto</t>
        </is>
      </c>
      <c r="L38" s="27" t="n">
        <v>0</v>
      </c>
      <c r="M38" s="28" t="n">
        <v>0</v>
      </c>
      <c r="N38" s="27" t="n">
        <v>0</v>
      </c>
      <c r="O38" s="28" t="n">
        <v>0</v>
      </c>
      <c r="P38" s="27" t="n">
        <v>0</v>
      </c>
      <c r="Q38" s="28" t="n">
        <v>0</v>
      </c>
      <c r="R38" s="22">
        <f>L38+N38+P38</f>
        <v/>
      </c>
      <c r="S38" s="23">
        <f>M38+O38+Q38</f>
        <v/>
      </c>
      <c r="T38" s="29">
        <f>S38-R38</f>
        <v/>
      </c>
      <c r="U38" s="30" t="inlineStr"/>
    </row>
    <row r="39" ht="20" customHeight="1">
      <c r="B39" s="20" t="inlineStr">
        <is>
          <t>ESPAÑA</t>
        </is>
      </c>
      <c r="C39" s="21" t="inlineStr">
        <is>
          <t>T.J AGRICULTURA S.L.</t>
        </is>
      </c>
      <c r="D39" s="20" t="inlineStr">
        <is>
          <t>AN0020</t>
        </is>
      </c>
      <c r="E39" s="21" t="inlineStr">
        <is>
          <t>ALCAPLANT NEW, 20 KG</t>
        </is>
      </c>
      <c r="F39" s="22" t="n">
        <v>0</v>
      </c>
      <c r="G39" s="23" t="n">
        <v>600</v>
      </c>
      <c r="H39" s="22">
        <f>ABS(G39-F39)</f>
        <v/>
      </c>
      <c r="I39" s="24">
        <f>IF(F39&gt;0, G39/F39, IF(G39&gt;0, 1.0, 0.0))</f>
        <v/>
      </c>
      <c r="J39" s="25">
        <f>IF(F39&gt;0, 1.0 - (H39/F39), IF(G39=0, 1.0, 0.0))</f>
        <v/>
      </c>
      <c r="K39" s="26" t="inlineStr">
        <is>
          <t>Pedido extra no previsto</t>
        </is>
      </c>
      <c r="L39" s="27" t="n">
        <v>0</v>
      </c>
      <c r="M39" s="28" t="n">
        <v>0</v>
      </c>
      <c r="N39" s="27" t="n">
        <v>0</v>
      </c>
      <c r="O39" s="28" t="n">
        <v>0</v>
      </c>
      <c r="P39" s="27" t="n">
        <v>0</v>
      </c>
      <c r="Q39" s="28" t="n">
        <v>0</v>
      </c>
      <c r="R39" s="22">
        <f>L39+N39+P39</f>
        <v/>
      </c>
      <c r="S39" s="23">
        <f>M39+O39+Q39</f>
        <v/>
      </c>
      <c r="T39" s="29">
        <f>S39-R39</f>
        <v/>
      </c>
      <c r="U39" s="30" t="inlineStr"/>
    </row>
    <row r="40" ht="20" customHeight="1">
      <c r="B40" s="20" t="inlineStr">
        <is>
          <t>ESPAÑA</t>
        </is>
      </c>
      <c r="C40" s="21" t="inlineStr">
        <is>
          <t>T.J AGRICULTURA S.L.</t>
        </is>
      </c>
      <c r="D40" s="20" t="inlineStr">
        <is>
          <t>SS0020</t>
        </is>
      </c>
      <c r="E40" s="21" t="inlineStr">
        <is>
          <t>SALWAX-CA, 20 KG</t>
        </is>
      </c>
      <c r="F40" s="22" t="n">
        <v>0</v>
      </c>
      <c r="G40" s="23" t="n">
        <v>500</v>
      </c>
      <c r="H40" s="22">
        <f>ABS(G40-F40)</f>
        <v/>
      </c>
      <c r="I40" s="24">
        <f>IF(F40&gt;0, G40/F40, IF(G40&gt;0, 1.0, 0.0))</f>
        <v/>
      </c>
      <c r="J40" s="25">
        <f>IF(F40&gt;0, 1.0 - (H40/F40), IF(G40=0, 1.0, 0.0))</f>
        <v/>
      </c>
      <c r="K40" s="26" t="inlineStr">
        <is>
          <t>Pedido extra no previsto</t>
        </is>
      </c>
      <c r="L40" s="27" t="n">
        <v>0</v>
      </c>
      <c r="M40" s="28" t="n">
        <v>0</v>
      </c>
      <c r="N40" s="27" t="n">
        <v>0</v>
      </c>
      <c r="O40" s="28" t="n">
        <v>0</v>
      </c>
      <c r="P40" s="27" t="n">
        <v>0</v>
      </c>
      <c r="Q40" s="28" t="n">
        <v>0</v>
      </c>
      <c r="R40" s="22">
        <f>L40+N40+P40</f>
        <v/>
      </c>
      <c r="S40" s="23">
        <f>M40+O40+Q40</f>
        <v/>
      </c>
      <c r="T40" s="29">
        <f>S40-R40</f>
        <v/>
      </c>
      <c r="U40" s="30" t="inlineStr"/>
    </row>
    <row r="41" ht="20" customHeight="1">
      <c r="B41" s="20" t="inlineStr">
        <is>
          <t>ESPAÑA</t>
        </is>
      </c>
      <c r="C41" s="21" t="inlineStr">
        <is>
          <t>VILLALTA SATIVUM, S.L.</t>
        </is>
      </c>
      <c r="D41" s="20" t="inlineStr">
        <is>
          <t>BIO0020</t>
        </is>
      </c>
      <c r="E41" s="21" t="inlineStr">
        <is>
          <t>BIORAD-20, 20 L</t>
        </is>
      </c>
      <c r="F41" s="22" t="n">
        <v>0</v>
      </c>
      <c r="G41" s="23" t="n">
        <v>0</v>
      </c>
      <c r="H41" s="22">
        <f>ABS(G41-F41)</f>
        <v/>
      </c>
      <c r="I41" s="24">
        <f>IF(F41&gt;0, G41/F41, IF(G41&gt;0, 1.0, 0.0))</f>
        <v/>
      </c>
      <c r="J41" s="25">
        <f>IF(F41&gt;0, 1.0 - (H41/F41), IF(G41=0, 1.0, 0.0))</f>
        <v/>
      </c>
      <c r="K41" s="26" t="inlineStr"/>
      <c r="L41" s="27" t="n">
        <v>300</v>
      </c>
      <c r="M41" s="28" t="n">
        <v>300</v>
      </c>
      <c r="N41" s="27" t="n">
        <v>0</v>
      </c>
      <c r="O41" s="28" t="n">
        <v>0</v>
      </c>
      <c r="P41" s="27" t="n">
        <v>0</v>
      </c>
      <c r="Q41" s="28" t="n">
        <v>0</v>
      </c>
      <c r="R41" s="22">
        <f>L41+N41+P41</f>
        <v/>
      </c>
      <c r="S41" s="23">
        <f>M41+O41+Q41</f>
        <v/>
      </c>
      <c r="T41" s="29">
        <f>S41-R41</f>
        <v/>
      </c>
      <c r="U41" s="30" t="inlineStr"/>
    </row>
    <row r="42" ht="20" customHeight="1">
      <c r="B42" s="20" t="inlineStr">
        <is>
          <t>ESPAÑA</t>
        </is>
      </c>
      <c r="C42" s="21" t="inlineStr">
        <is>
          <t>VILLALTA SATIVUM, S.L.</t>
        </is>
      </c>
      <c r="D42" s="20" t="inlineStr">
        <is>
          <t>BROTA0020</t>
        </is>
      </c>
      <c r="E42" s="21" t="inlineStr">
        <is>
          <t>BROTAMEC, 20 L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>
        <f>IF(F42&gt;0, 1.0 - (H42/F42), IF(G42=0, 1.0, 0.0))</f>
        <v/>
      </c>
      <c r="K42" s="26" t="inlineStr"/>
      <c r="L42" s="27" t="n">
        <v>640</v>
      </c>
      <c r="M42" s="28" t="n">
        <v>640</v>
      </c>
      <c r="N42" s="27" t="n">
        <v>0</v>
      </c>
      <c r="O42" s="28" t="n">
        <v>0</v>
      </c>
      <c r="P42" s="27" t="n">
        <v>0</v>
      </c>
      <c r="Q42" s="28" t="n">
        <v>0</v>
      </c>
      <c r="R42" s="22">
        <f>L42+N42+P42</f>
        <v/>
      </c>
      <c r="S42" s="23">
        <f>M42+O42+Q42</f>
        <v/>
      </c>
      <c r="T42" s="29">
        <f>S42-R42</f>
        <v/>
      </c>
      <c r="U42" s="30" t="inlineStr"/>
    </row>
    <row r="43" ht="20" customHeight="1">
      <c r="B43" s="20" t="inlineStr">
        <is>
          <t>ESPAÑA</t>
        </is>
      </c>
      <c r="C43" s="21" t="inlineStr">
        <is>
          <t>VILLALTA SATIVUM, S.L.</t>
        </is>
      </c>
      <c r="D43" s="20" t="inlineStr">
        <is>
          <t>WHITE0020</t>
        </is>
      </c>
      <c r="E43" s="21" t="inlineStr">
        <is>
          <t>AGROWHITE, 20 KG</t>
        </is>
      </c>
      <c r="F43" s="22" t="n">
        <v>0</v>
      </c>
      <c r="G43" s="23" t="n">
        <v>3460</v>
      </c>
      <c r="H43" s="22">
        <f>ABS(G43-F43)</f>
        <v/>
      </c>
      <c r="I43" s="24">
        <f>IF(F43&gt;0, G43/F43, IF(G43&gt;0, 1.0, 0.0))</f>
        <v/>
      </c>
      <c r="J43" s="25">
        <f>IF(F43&gt;0, 1.0 - (H43/F43), IF(G43=0, 1.0, 0.0))</f>
        <v/>
      </c>
      <c r="K43" s="26" t="inlineStr">
        <is>
          <t>Pedido extra no previsto</t>
        </is>
      </c>
      <c r="L43" s="27" t="n">
        <v>0</v>
      </c>
      <c r="M43" s="28" t="n">
        <v>0</v>
      </c>
      <c r="N43" s="27" t="n">
        <v>0</v>
      </c>
      <c r="O43" s="28" t="n">
        <v>0</v>
      </c>
      <c r="P43" s="27" t="n">
        <v>0</v>
      </c>
      <c r="Q43" s="28" t="n">
        <v>0</v>
      </c>
      <c r="R43" s="22">
        <f>L43+N43+P43</f>
        <v/>
      </c>
      <c r="S43" s="23">
        <f>M43+O43+Q43</f>
        <v/>
      </c>
      <c r="T43" s="29">
        <f>S43-R43</f>
        <v/>
      </c>
      <c r="U43" s="30" t="inlineStr"/>
    </row>
    <row r="44" ht="25" customHeight="1">
      <c r="B44" s="31" t="inlineStr">
        <is>
          <t>TOTAL CONSOLIDADO - ALFONSO (UNIDADES)</t>
        </is>
      </c>
      <c r="C44" s="32" t="n"/>
      <c r="D44" s="32" t="n"/>
      <c r="E44" s="32" t="n"/>
      <c r="F44" s="33">
        <f>SUM(F10:F43)</f>
        <v/>
      </c>
      <c r="G44" s="33">
        <f>SUM(G10:G43)</f>
        <v/>
      </c>
      <c r="H44" s="33">
        <f>SUM(H10:H43)</f>
        <v/>
      </c>
      <c r="I44" s="34">
        <f>IF(F44&gt;0, G44/F44, 1.0)</f>
        <v/>
      </c>
      <c r="J44" s="34">
        <f>IF(F44&gt;0, 1.0 - (H44/F44), 1.0)</f>
        <v/>
      </c>
      <c r="K44" s="35" t="n"/>
      <c r="L44" s="33">
        <f>SUM(L10:L43)</f>
        <v/>
      </c>
      <c r="M44" s="33">
        <f>SUM(M10:M43)</f>
        <v/>
      </c>
      <c r="N44" s="33">
        <f>SUM(N10:N43)</f>
        <v/>
      </c>
      <c r="O44" s="33">
        <f>SUM(O10:O43)</f>
        <v/>
      </c>
      <c r="P44" s="33">
        <f>SUM(P10:P43)</f>
        <v/>
      </c>
      <c r="Q44" s="33">
        <f>SUM(Q10:Q43)</f>
        <v/>
      </c>
      <c r="R44" s="33">
        <f>SUM(R10:R43)</f>
        <v/>
      </c>
      <c r="S44" s="33">
        <f>SUM(S10:S43)</f>
        <v/>
      </c>
      <c r="T44" s="36">
        <f>SUM(T10:T43)</f>
        <v/>
      </c>
      <c r="U44" s="35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44:E44"/>
    <mergeCell ref="H5:I5"/>
  </mergeCells>
  <dataValidations count="1">
    <dataValidation sqref="K10:K43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2026-10-01T12:02:01Z</dcterms:created>
  <dcterms:modified xmlns:dcterms="http://purl.org/dc/terms/" xmlns:xsi="http://www.w3.org/2001/XMLSchema-instance" xsi:type="dcterms:W3CDTF">2026-10-01T12:02:01Z</dcterms:modified>
</cp:coreProperties>
</file>