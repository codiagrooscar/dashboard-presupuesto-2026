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Ped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F52</f>
        <v/>
      </c>
      <c r="C6" s="5" t="n"/>
      <c r="D6" s="5" t="n"/>
      <c r="E6" s="10">
        <f>G52</f>
        <v/>
      </c>
      <c r="F6" s="5" t="n"/>
      <c r="G6" s="5" t="n"/>
      <c r="H6" s="11">
        <f>I52</f>
        <v/>
      </c>
      <c r="I6" s="5" t="n"/>
      <c r="J6" s="11">
        <f>J52</f>
        <v/>
      </c>
      <c r="K6" s="5" t="n"/>
      <c r="L6" s="9">
        <f>R52</f>
        <v/>
      </c>
      <c r="M6" s="5" t="n"/>
      <c r="N6" s="5" t="n"/>
      <c r="O6" s="10">
        <f>S52</f>
        <v/>
      </c>
      <c r="P6" s="5" t="n"/>
      <c r="Q6" s="5" t="n"/>
      <c r="R6" s="12">
        <f>T52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ASESORAMIENTO TECNICO DE CULTIVOS, S.L.</t>
        </is>
      </c>
      <c r="D10" s="20" t="inlineStr">
        <is>
          <t>AGXK0020</t>
        </is>
      </c>
      <c r="E10" s="21" t="inlineStr">
        <is>
          <t>AGROXILATO-K, 20 L</t>
        </is>
      </c>
      <c r="F10" s="22" t="n">
        <v>640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640</v>
      </c>
      <c r="M10" s="28" t="n">
        <v>640</v>
      </c>
      <c r="N10" s="27" t="n">
        <v>0</v>
      </c>
      <c r="O10" s="28" t="n">
        <v>0</v>
      </c>
      <c r="P10" s="27" t="n">
        <v>0</v>
      </c>
      <c r="Q10" s="28" t="n">
        <v>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ESPAÑA</t>
        </is>
      </c>
      <c r="C11" s="21" t="inlineStr">
        <is>
          <t>ASESORAMIENTO TECNICO DE CULTIVOS, S.L.</t>
        </is>
      </c>
      <c r="D11" s="20" t="inlineStr">
        <is>
          <t>B0005</t>
        </is>
      </c>
      <c r="E11" s="21" t="inlineStr">
        <is>
          <t>BOROCAL, 5 L</t>
        </is>
      </c>
      <c r="F11" s="22" t="n">
        <v>300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/>
      <c r="L11" s="27" t="n">
        <v>0</v>
      </c>
      <c r="M11" s="28" t="n">
        <v>0</v>
      </c>
      <c r="N11" s="27" t="n">
        <v>0</v>
      </c>
      <c r="O11" s="28" t="n">
        <v>0</v>
      </c>
      <c r="P11" s="27" t="n">
        <v>0</v>
      </c>
      <c r="Q11" s="28" t="n">
        <v>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ESPAÑA</t>
        </is>
      </c>
      <c r="C12" s="21" t="inlineStr">
        <is>
          <t>ASESORAMIENTO TECNICO DE CULTIVOS, S.L.</t>
        </is>
      </c>
      <c r="D12" s="20" t="inlineStr">
        <is>
          <t>B0020</t>
        </is>
      </c>
      <c r="E12" s="21" t="inlineStr">
        <is>
          <t>BOROCAL, 20 L</t>
        </is>
      </c>
      <c r="F12" s="22" t="n">
        <v>1280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/>
      <c r="L12" s="27" t="n">
        <v>640</v>
      </c>
      <c r="M12" s="28" t="n">
        <v>640</v>
      </c>
      <c r="N12" s="27" t="n">
        <v>640</v>
      </c>
      <c r="O12" s="28" t="n">
        <v>640</v>
      </c>
      <c r="P12" s="27" t="n">
        <v>0</v>
      </c>
      <c r="Q12" s="28" t="n">
        <v>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ESPAÑA</t>
        </is>
      </c>
      <c r="C13" s="21" t="inlineStr">
        <is>
          <t>ASESORAMIENTO TECNICO DE CULTIVOS, S.L.</t>
        </is>
      </c>
      <c r="D13" s="20" t="inlineStr">
        <is>
          <t>C-CU0020</t>
        </is>
      </c>
      <c r="E13" s="21" t="inlineStr">
        <is>
          <t>CODICOBRE, 20 L</t>
        </is>
      </c>
      <c r="F13" s="22" t="n">
        <v>1280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/>
      <c r="L13" s="27" t="n">
        <v>640</v>
      </c>
      <c r="M13" s="28" t="n">
        <v>640</v>
      </c>
      <c r="N13" s="27" t="n">
        <v>1280</v>
      </c>
      <c r="O13" s="28" t="n">
        <v>1280</v>
      </c>
      <c r="P13" s="27" t="n">
        <v>0</v>
      </c>
      <c r="Q13" s="28" t="n">
        <v>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ESPAÑA</t>
        </is>
      </c>
      <c r="C14" s="21" t="inlineStr">
        <is>
          <t>ASESORAMIENTO TECNICO DE CULTIVOS, S.L.</t>
        </is>
      </c>
      <c r="D14" s="20" t="inlineStr">
        <is>
          <t>CBASI0005</t>
        </is>
      </c>
      <c r="E14" s="21" t="inlineStr">
        <is>
          <t>BIOCULTURE BASI, 5 KG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/>
      <c r="L14" s="27" t="n">
        <v>500</v>
      </c>
      <c r="M14" s="28" t="n">
        <v>500</v>
      </c>
      <c r="N14" s="27" t="n">
        <v>0</v>
      </c>
      <c r="O14" s="28" t="n">
        <v>0</v>
      </c>
      <c r="P14" s="27" t="n">
        <v>0</v>
      </c>
      <c r="Q14" s="28" t="n">
        <v>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ESPAÑA</t>
        </is>
      </c>
      <c r="C15" s="21" t="inlineStr">
        <is>
          <t>ASESORAMIENTO TECNICO DE CULTIVOS, S.L.</t>
        </is>
      </c>
      <c r="D15" s="20" t="inlineStr">
        <is>
          <t>PT0020</t>
        </is>
      </c>
      <c r="E15" s="21" t="inlineStr">
        <is>
          <t>AGROPOTASION, 20 L</t>
        </is>
      </c>
      <c r="F15" s="22" t="n">
        <v>2560</v>
      </c>
      <c r="G15" s="23" t="n">
        <v>1920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/>
      <c r="L15" s="27" t="n">
        <v>1920</v>
      </c>
      <c r="M15" s="28" t="n">
        <v>1920</v>
      </c>
      <c r="N15" s="27" t="n">
        <v>1920</v>
      </c>
      <c r="O15" s="28" t="n">
        <v>1920</v>
      </c>
      <c r="P15" s="27" t="n">
        <v>0</v>
      </c>
      <c r="Q15" s="28" t="n">
        <v>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ESPAÑA</t>
        </is>
      </c>
      <c r="C16" s="21" t="inlineStr">
        <is>
          <t>COMERCIAL TÉCNICA FITOCARTHAGO, S.L.</t>
        </is>
      </c>
      <c r="D16" s="20" t="inlineStr">
        <is>
          <t>AGXK0200</t>
        </is>
      </c>
      <c r="E16" s="21" t="inlineStr">
        <is>
          <t>AGROXILATO-K, 200 L</t>
        </is>
      </c>
      <c r="F16" s="22" t="n">
        <v>400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/>
      <c r="L16" s="27" t="n">
        <v>800</v>
      </c>
      <c r="M16" s="28" t="n">
        <v>800</v>
      </c>
      <c r="N16" s="27" t="n">
        <v>0</v>
      </c>
      <c r="O16" s="28" t="n">
        <v>0</v>
      </c>
      <c r="P16" s="27" t="n">
        <v>0</v>
      </c>
      <c r="Q16" s="28" t="n">
        <v>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ESPAÑA</t>
        </is>
      </c>
      <c r="C17" s="21" t="inlineStr">
        <is>
          <t>COMERCIAL TÉCNICA FITOCARTHAGO, S.L.</t>
        </is>
      </c>
      <c r="D17" s="20" t="inlineStr">
        <is>
          <t>AGXK1000</t>
        </is>
      </c>
      <c r="E17" s="21" t="inlineStr">
        <is>
          <t>AGROXILATO-K, 1000 L</t>
        </is>
      </c>
      <c r="F17" s="22" t="n">
        <v>2000</v>
      </c>
      <c r="G17" s="23" t="n">
        <v>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/>
      <c r="L17" s="27" t="n">
        <v>3000</v>
      </c>
      <c r="M17" s="28" t="n">
        <v>3000</v>
      </c>
      <c r="N17" s="27" t="n">
        <v>1000</v>
      </c>
      <c r="O17" s="28" t="n">
        <v>1000</v>
      </c>
      <c r="P17" s="27" t="n">
        <v>0</v>
      </c>
      <c r="Q17" s="28" t="n">
        <v>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ESPAÑA</t>
        </is>
      </c>
      <c r="C18" s="21" t="inlineStr">
        <is>
          <t>COMERCIAL TÉCNICA FITOCARTHAGO, S.L.</t>
        </is>
      </c>
      <c r="D18" s="20" t="inlineStr">
        <is>
          <t>AN0020</t>
        </is>
      </c>
      <c r="E18" s="21" t="inlineStr">
        <is>
          <t>ALCAPLANT NEW, 20 KG</t>
        </is>
      </c>
      <c r="F18" s="22" t="n">
        <v>2200</v>
      </c>
      <c r="G18" s="23" t="n">
        <v>2200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6500</v>
      </c>
      <c r="M18" s="28" t="n">
        <v>6500</v>
      </c>
      <c r="N18" s="27" t="n">
        <v>6500</v>
      </c>
      <c r="O18" s="28" t="n">
        <v>6500</v>
      </c>
      <c r="P18" s="27" t="n">
        <v>0</v>
      </c>
      <c r="Q18" s="28" t="n">
        <v>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ESPAÑA</t>
        </is>
      </c>
      <c r="C19" s="21" t="inlineStr">
        <is>
          <t>COMERCIAL TÉCNICA FITOCARTHAGO, S.L.</t>
        </is>
      </c>
      <c r="D19" s="20" t="inlineStr">
        <is>
          <t>ANAE0020</t>
        </is>
      </c>
      <c r="E19" s="21" t="inlineStr">
        <is>
          <t>ALCAPLANT NEW AE, 20 KG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2200</v>
      </c>
      <c r="M19" s="28" t="n">
        <v>2200</v>
      </c>
      <c r="N19" s="27" t="n">
        <v>2200</v>
      </c>
      <c r="O19" s="28" t="n">
        <v>2200</v>
      </c>
      <c r="P19" s="27" t="n">
        <v>0</v>
      </c>
      <c r="Q19" s="28" t="n">
        <v>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ESPAÑA</t>
        </is>
      </c>
      <c r="C20" s="21" t="inlineStr">
        <is>
          <t>COMERCIAL TÉCNICA FITOCARTHAGO, S.L.</t>
        </is>
      </c>
      <c r="D20" s="20" t="inlineStr">
        <is>
          <t>AQUOM0020</t>
        </is>
      </c>
      <c r="E20" s="21" t="inlineStr">
        <is>
          <t>AQUOM, 20 L</t>
        </is>
      </c>
      <c r="F20" s="22" t="n">
        <v>0</v>
      </c>
      <c r="G20" s="23" t="n">
        <v>200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>
        <is>
          <t>Pedido extra no previsto</t>
        </is>
      </c>
      <c r="L20" s="27" t="n">
        <v>100</v>
      </c>
      <c r="M20" s="28" t="n">
        <v>100</v>
      </c>
      <c r="N20" s="27" t="n">
        <v>100</v>
      </c>
      <c r="O20" s="28" t="n">
        <v>100</v>
      </c>
      <c r="P20" s="27" t="n">
        <v>0</v>
      </c>
      <c r="Q20" s="28" t="n">
        <v>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ESPAÑA</t>
        </is>
      </c>
      <c r="C21" s="21" t="inlineStr">
        <is>
          <t>COMERCIAL TÉCNICA FITOCARTHAGO, S.L.</t>
        </is>
      </c>
      <c r="D21" s="20" t="inlineStr">
        <is>
          <t>C-CU0020</t>
        </is>
      </c>
      <c r="E21" s="21" t="inlineStr">
        <is>
          <t>CODICOBRE, 20 L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/>
      <c r="L21" s="27" t="n">
        <v>200</v>
      </c>
      <c r="M21" s="28" t="n">
        <v>200</v>
      </c>
      <c r="N21" s="27" t="n">
        <v>200</v>
      </c>
      <c r="O21" s="28" t="n">
        <v>200</v>
      </c>
      <c r="P21" s="27" t="n">
        <v>0</v>
      </c>
      <c r="Q21" s="28" t="n">
        <v>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ESPAÑA</t>
        </is>
      </c>
      <c r="C22" s="21" t="inlineStr">
        <is>
          <t>COMERCIAL TÉCNICA FITOCARTHAGO, S.L.</t>
        </is>
      </c>
      <c r="D22" s="20" t="inlineStr">
        <is>
          <t>FROST-P0020</t>
        </is>
      </c>
      <c r="E22" s="21" t="inlineStr">
        <is>
          <t>CODIFROST PLUS, 20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0</v>
      </c>
      <c r="M22" s="28" t="n">
        <v>0</v>
      </c>
      <c r="N22" s="27" t="n">
        <v>100</v>
      </c>
      <c r="O22" s="28" t="n">
        <v>100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ESPAÑA</t>
        </is>
      </c>
      <c r="C23" s="21" t="inlineStr">
        <is>
          <t>COMERCIAL TÉCNICA FITOCARTHAGO, S.L.</t>
        </is>
      </c>
      <c r="D23" s="20" t="inlineStr">
        <is>
          <t>N0200</t>
        </is>
      </c>
      <c r="E23" s="21" t="inlineStr">
        <is>
          <t>NUTRICALE, 200 L</t>
        </is>
      </c>
      <c r="F23" s="22" t="n">
        <v>0</v>
      </c>
      <c r="G23" s="23" t="n">
        <v>200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>
        <is>
          <t>Pedido extra no previsto</t>
        </is>
      </c>
      <c r="L23" s="27" t="n">
        <v>0</v>
      </c>
      <c r="M23" s="28" t="n">
        <v>0</v>
      </c>
      <c r="N23" s="27" t="n">
        <v>0</v>
      </c>
      <c r="O23" s="28" t="n">
        <v>0</v>
      </c>
      <c r="P23" s="27" t="n">
        <v>0</v>
      </c>
      <c r="Q23" s="28" t="n">
        <v>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ESPAÑA</t>
        </is>
      </c>
      <c r="C24" s="21" t="inlineStr">
        <is>
          <t>COMERCIAL TÉCNICA FITOCARTHAGO, S.L.</t>
        </is>
      </c>
      <c r="D24" s="20" t="inlineStr">
        <is>
          <t>PT0020</t>
        </is>
      </c>
      <c r="E24" s="21" t="inlineStr">
        <is>
          <t>AGROPOTASION, 20 L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/>
      <c r="L24" s="27" t="n">
        <v>640</v>
      </c>
      <c r="M24" s="28" t="n">
        <v>640</v>
      </c>
      <c r="N24" s="27" t="n">
        <v>640</v>
      </c>
      <c r="O24" s="28" t="n">
        <v>640</v>
      </c>
      <c r="P24" s="27" t="n">
        <v>0</v>
      </c>
      <c r="Q24" s="28" t="n">
        <v>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ESPAÑA</t>
        </is>
      </c>
      <c r="C25" s="21" t="inlineStr">
        <is>
          <t>COMERCIAL TÉCNICA FITOCARTHAGO, S.L.</t>
        </is>
      </c>
      <c r="D25" s="20" t="inlineStr">
        <is>
          <t>PT0200</t>
        </is>
      </c>
      <c r="E25" s="21" t="inlineStr">
        <is>
          <t>AGROPOTASION, 200 L</t>
        </is>
      </c>
      <c r="F25" s="22" t="n">
        <v>0</v>
      </c>
      <c r="G25" s="23" t="n">
        <v>600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>
        <is>
          <t>Pedido extra no previsto</t>
        </is>
      </c>
      <c r="L25" s="27" t="n">
        <v>0</v>
      </c>
      <c r="M25" s="28" t="n">
        <v>0</v>
      </c>
      <c r="N25" s="27" t="n">
        <v>0</v>
      </c>
      <c r="O25" s="28" t="n">
        <v>0</v>
      </c>
      <c r="P25" s="27" t="n">
        <v>0</v>
      </c>
      <c r="Q25" s="28" t="n">
        <v>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ESPAÑA</t>
        </is>
      </c>
      <c r="C26" s="21" t="inlineStr">
        <is>
          <t>COMERCIAL TÉCNICA FITOCARTHAGO, S.L.</t>
        </is>
      </c>
      <c r="D26" s="20" t="inlineStr">
        <is>
          <t>PT1000</t>
        </is>
      </c>
      <c r="E26" s="21" t="inlineStr">
        <is>
          <t>AGROPOTASION, 1000 L</t>
        </is>
      </c>
      <c r="F26" s="22" t="n">
        <v>0</v>
      </c>
      <c r="G26" s="23" t="n">
        <v>1000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>
        <is>
          <t>Pedido extra no previsto</t>
        </is>
      </c>
      <c r="L26" s="27" t="n">
        <v>0</v>
      </c>
      <c r="M26" s="28" t="n">
        <v>0</v>
      </c>
      <c r="N26" s="27" t="n">
        <v>0</v>
      </c>
      <c r="O26" s="28" t="n">
        <v>0</v>
      </c>
      <c r="P26" s="27" t="n">
        <v>0</v>
      </c>
      <c r="Q26" s="28" t="n">
        <v>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ESPAÑA</t>
        </is>
      </c>
      <c r="C27" s="21" t="inlineStr">
        <is>
          <t>COMERCIAL TÉCNICA FITOCARTHAGO, S.L.</t>
        </is>
      </c>
      <c r="D27" s="20" t="inlineStr">
        <is>
          <t>S0020</t>
        </is>
      </c>
      <c r="E27" s="21" t="inlineStr">
        <is>
          <t>SAL-WAX STAR, 20 L</t>
        </is>
      </c>
      <c r="F27" s="22" t="n">
        <v>640</v>
      </c>
      <c r="G27" s="23" t="n">
        <v>640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/>
      <c r="L27" s="27" t="n">
        <v>1280</v>
      </c>
      <c r="M27" s="28" t="n">
        <v>1280</v>
      </c>
      <c r="N27" s="27" t="n">
        <v>1280</v>
      </c>
      <c r="O27" s="28" t="n">
        <v>1280</v>
      </c>
      <c r="P27" s="27" t="n">
        <v>0</v>
      </c>
      <c r="Q27" s="28" t="n">
        <v>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COMERCIAL TÉCNICA FITOCARTHAGO, S.L.</t>
        </is>
      </c>
      <c r="D28" s="20" t="inlineStr">
        <is>
          <t>S0200</t>
        </is>
      </c>
      <c r="E28" s="21" t="inlineStr">
        <is>
          <t>SAL-WAX STAR, 200 L</t>
        </is>
      </c>
      <c r="F28" s="22" t="n">
        <v>400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/>
      <c r="L28" s="27" t="n">
        <v>1600</v>
      </c>
      <c r="M28" s="28" t="n">
        <v>1600</v>
      </c>
      <c r="N28" s="27" t="n">
        <v>1600</v>
      </c>
      <c r="O28" s="28" t="n">
        <v>1600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ESPAÑA</t>
        </is>
      </c>
      <c r="C29" s="21" t="inlineStr">
        <is>
          <t>COMERCIAL TÉCNICA FITOCARTHAGO, S.L.</t>
        </is>
      </c>
      <c r="D29" s="20" t="inlineStr">
        <is>
          <t>S1000</t>
        </is>
      </c>
      <c r="E29" s="21" t="inlineStr">
        <is>
          <t>SAL-WAX STAR, 1000 L</t>
        </is>
      </c>
      <c r="F29" s="22" t="n">
        <v>5000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/>
      <c r="L29" s="27" t="n">
        <v>5000</v>
      </c>
      <c r="M29" s="28" t="n">
        <v>5000</v>
      </c>
      <c r="N29" s="27" t="n">
        <v>4000</v>
      </c>
      <c r="O29" s="28" t="n">
        <v>4000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ESPAÑA</t>
        </is>
      </c>
      <c r="C30" s="21" t="inlineStr">
        <is>
          <t>COMERCIAL TÉCNICA FITOCARTHAGO, S.L.</t>
        </is>
      </c>
      <c r="D30" s="20" t="inlineStr">
        <is>
          <t>SPCE2B0020</t>
        </is>
      </c>
      <c r="E30" s="21" t="inlineStr">
        <is>
          <t>SPRINTENE CON BORO, 20 L</t>
        </is>
      </c>
      <c r="F30" s="22" t="n">
        <v>640</v>
      </c>
      <c r="G30" s="23" t="n">
        <v>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/>
      <c r="L30" s="27" t="n">
        <v>1280</v>
      </c>
      <c r="M30" s="28" t="n">
        <v>1280</v>
      </c>
      <c r="N30" s="27" t="n">
        <v>0</v>
      </c>
      <c r="O30" s="28" t="n">
        <v>0</v>
      </c>
      <c r="P30" s="27" t="n">
        <v>0</v>
      </c>
      <c r="Q30" s="28" t="n">
        <v>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ESPAÑA</t>
        </is>
      </c>
      <c r="C31" s="21" t="inlineStr">
        <is>
          <t>COMERCIAL TÉCNICA FITOCARTHAGO, S.L.</t>
        </is>
      </c>
      <c r="D31" s="20" t="inlineStr">
        <is>
          <t>SS0020</t>
        </is>
      </c>
      <c r="E31" s="21" t="inlineStr">
        <is>
          <t>SAL-WAX-Ca sólido, 20 KG</t>
        </is>
      </c>
      <c r="F31" s="22" t="n">
        <v>0</v>
      </c>
      <c r="G31" s="23" t="n">
        <v>400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>
        <is>
          <t>Pedido extra no previsto</t>
        </is>
      </c>
      <c r="L31" s="27" t="n">
        <v>2800</v>
      </c>
      <c r="M31" s="28" t="n">
        <v>2800</v>
      </c>
      <c r="N31" s="27" t="n">
        <v>2400</v>
      </c>
      <c r="O31" s="28" t="n">
        <v>2400</v>
      </c>
      <c r="P31" s="27" t="n">
        <v>0</v>
      </c>
      <c r="Q31" s="28" t="n">
        <v>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ESPAÑA</t>
        </is>
      </c>
      <c r="C32" s="21" t="inlineStr">
        <is>
          <t>FITOMURCIA S.L.</t>
        </is>
      </c>
      <c r="D32" s="20" t="inlineStr">
        <is>
          <t>A-50(2)0005</t>
        </is>
      </c>
      <c r="E32" s="21" t="inlineStr">
        <is>
          <t>CODIORGAN A-50, 5 KG</t>
        </is>
      </c>
      <c r="F32" s="22" t="n">
        <v>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/>
      <c r="L32" s="27" t="n">
        <v>0</v>
      </c>
      <c r="M32" s="28" t="n">
        <v>0</v>
      </c>
      <c r="N32" s="27" t="n">
        <v>500</v>
      </c>
      <c r="O32" s="28" t="n">
        <v>500</v>
      </c>
      <c r="P32" s="27" t="n">
        <v>0</v>
      </c>
      <c r="Q32" s="28" t="n">
        <v>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ESPAÑA</t>
        </is>
      </c>
      <c r="C33" s="21" t="inlineStr">
        <is>
          <t>FITOMURCIA S.L.</t>
        </is>
      </c>
      <c r="D33" s="20" t="inlineStr">
        <is>
          <t>AGXKC0020</t>
        </is>
      </c>
      <c r="E33" s="21" t="inlineStr">
        <is>
          <t>AGROXILATO-COMPLET, 20 L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/>
      <c r="L33" s="27" t="n">
        <v>0</v>
      </c>
      <c r="M33" s="28" t="n">
        <v>0</v>
      </c>
      <c r="N33" s="27" t="n">
        <v>1280</v>
      </c>
      <c r="O33" s="28" t="n">
        <v>1280</v>
      </c>
      <c r="P33" s="27" t="n">
        <v>0</v>
      </c>
      <c r="Q33" s="28" t="n">
        <v>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ESPAÑA</t>
        </is>
      </c>
      <c r="C34" s="21" t="inlineStr">
        <is>
          <t>FITOMURCIA S.L.</t>
        </is>
      </c>
      <c r="D34" s="20" t="inlineStr">
        <is>
          <t>AGXKC1000</t>
        </is>
      </c>
      <c r="E34" s="21" t="inlineStr">
        <is>
          <t>AGROXILATO-COMPLET, 1000 L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/>
      <c r="L34" s="27" t="n">
        <v>0</v>
      </c>
      <c r="M34" s="28" t="n">
        <v>0</v>
      </c>
      <c r="N34" s="27" t="n">
        <v>5000</v>
      </c>
      <c r="O34" s="28" t="n">
        <v>5000</v>
      </c>
      <c r="P34" s="27" t="n">
        <v>0</v>
      </c>
      <c r="Q34" s="28" t="n">
        <v>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ESPAÑA</t>
        </is>
      </c>
      <c r="C35" s="21" t="inlineStr">
        <is>
          <t>FITOMURCIA S.L.</t>
        </is>
      </c>
      <c r="D35" s="20" t="inlineStr">
        <is>
          <t>AGZNP0005</t>
        </is>
      </c>
      <c r="E35" s="21" t="inlineStr">
        <is>
          <t>AGROXILATO-ZN PLUS, 5 KG</t>
        </is>
      </c>
      <c r="F35" s="22" t="n">
        <v>0</v>
      </c>
      <c r="G35" s="23" t="n">
        <v>200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>
        <is>
          <t>Pedido extra no previsto</t>
        </is>
      </c>
      <c r="L35" s="27" t="n">
        <v>0</v>
      </c>
      <c r="M35" s="28" t="n">
        <v>0</v>
      </c>
      <c r="N35" s="27" t="n">
        <v>0</v>
      </c>
      <c r="O35" s="28" t="n">
        <v>0</v>
      </c>
      <c r="P35" s="27" t="n">
        <v>0</v>
      </c>
      <c r="Q35" s="28" t="n">
        <v>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ESPAÑA</t>
        </is>
      </c>
      <c r="C36" s="21" t="inlineStr">
        <is>
          <t>FITOMURCIA S.L.</t>
        </is>
      </c>
      <c r="D36" s="20" t="inlineStr">
        <is>
          <t>AN0020</t>
        </is>
      </c>
      <c r="E36" s="21" t="inlineStr">
        <is>
          <t>ALCAPLANT NEW, 20 KG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/>
      <c r="L36" s="27" t="n">
        <v>0</v>
      </c>
      <c r="M36" s="28" t="n">
        <v>0</v>
      </c>
      <c r="N36" s="27" t="n">
        <v>3300</v>
      </c>
      <c r="O36" s="28" t="n">
        <v>3300</v>
      </c>
      <c r="P36" s="27" t="n">
        <v>0</v>
      </c>
      <c r="Q36" s="28" t="n">
        <v>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ESPAÑA</t>
        </is>
      </c>
      <c r="C37" s="21" t="inlineStr">
        <is>
          <t>FITOMURCIA S.L.</t>
        </is>
      </c>
      <c r="D37" s="20" t="inlineStr">
        <is>
          <t>B0020</t>
        </is>
      </c>
      <c r="E37" s="21" t="inlineStr">
        <is>
          <t>BOROCAL, 20 L</t>
        </is>
      </c>
      <c r="F37" s="22" t="n">
        <v>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/>
      <c r="L37" s="27" t="n">
        <v>0</v>
      </c>
      <c r="M37" s="28" t="n">
        <v>0</v>
      </c>
      <c r="N37" s="27" t="n">
        <v>1280</v>
      </c>
      <c r="O37" s="28" t="n">
        <v>1280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ESPAÑA</t>
        </is>
      </c>
      <c r="C38" s="21" t="inlineStr">
        <is>
          <t>FITOMURCIA S.L.</t>
        </is>
      </c>
      <c r="D38" s="20" t="inlineStr">
        <is>
          <t>BIO0020</t>
        </is>
      </c>
      <c r="E38" s="21" t="inlineStr">
        <is>
          <t>BIORAD-20, 20 L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/>
      <c r="L38" s="27" t="n">
        <v>0</v>
      </c>
      <c r="M38" s="28" t="n">
        <v>0</v>
      </c>
      <c r="N38" s="27" t="n">
        <v>1280</v>
      </c>
      <c r="O38" s="28" t="n">
        <v>1280</v>
      </c>
      <c r="P38" s="27" t="n">
        <v>0</v>
      </c>
      <c r="Q38" s="28" t="n">
        <v>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ESPAÑA</t>
        </is>
      </c>
      <c r="C39" s="21" t="inlineStr">
        <is>
          <t>FITOMURCIA S.L.</t>
        </is>
      </c>
      <c r="D39" s="20" t="inlineStr">
        <is>
          <t>BIO1000</t>
        </is>
      </c>
      <c r="E39" s="21" t="inlineStr">
        <is>
          <t>BIORAD-20, 1000 L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/>
      <c r="L39" s="27" t="n">
        <v>0</v>
      </c>
      <c r="M39" s="28" t="n">
        <v>0</v>
      </c>
      <c r="N39" s="27" t="n">
        <v>4000</v>
      </c>
      <c r="O39" s="28" t="n">
        <v>4000</v>
      </c>
      <c r="P39" s="27" t="n">
        <v>0</v>
      </c>
      <c r="Q39" s="28" t="n">
        <v>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ESPAÑA</t>
        </is>
      </c>
      <c r="C40" s="21" t="inlineStr">
        <is>
          <t>FITOMURCIA S.L.</t>
        </is>
      </c>
      <c r="D40" s="20" t="inlineStr">
        <is>
          <t>C-L0020</t>
        </is>
      </c>
      <c r="E40" s="21" t="inlineStr">
        <is>
          <t>CODIBOR-L, 20 L</t>
        </is>
      </c>
      <c r="F40" s="22" t="n">
        <v>0</v>
      </c>
      <c r="G40" s="23" t="n">
        <v>320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>
        <is>
          <t>Pedido extra no previsto</t>
        </is>
      </c>
      <c r="L40" s="27" t="n">
        <v>0</v>
      </c>
      <c r="M40" s="28" t="n">
        <v>0</v>
      </c>
      <c r="N40" s="27" t="n">
        <v>0</v>
      </c>
      <c r="O40" s="28" t="n">
        <v>0</v>
      </c>
      <c r="P40" s="27" t="n">
        <v>0</v>
      </c>
      <c r="Q40" s="28" t="n">
        <v>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ESPAÑA</t>
        </is>
      </c>
      <c r="C41" s="21" t="inlineStr">
        <is>
          <t>FITOMURCIA S.L.</t>
        </is>
      </c>
      <c r="D41" s="20" t="inlineStr">
        <is>
          <t>C-MB0005</t>
        </is>
      </c>
      <c r="E41" s="21" t="inlineStr">
        <is>
          <t>CODIFOL-MB, 5 L</t>
        </is>
      </c>
      <c r="F41" s="22" t="n">
        <v>0</v>
      </c>
      <c r="G41" s="23" t="n">
        <v>60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>
        <is>
          <t>Pedido extra no previsto</t>
        </is>
      </c>
      <c r="L41" s="27" t="n">
        <v>0</v>
      </c>
      <c r="M41" s="28" t="n">
        <v>0</v>
      </c>
      <c r="N41" s="27" t="n">
        <v>0</v>
      </c>
      <c r="O41" s="28" t="n">
        <v>0</v>
      </c>
      <c r="P41" s="27" t="n">
        <v>0</v>
      </c>
      <c r="Q41" s="28" t="n">
        <v>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ESPAÑA</t>
        </is>
      </c>
      <c r="C42" s="21" t="inlineStr">
        <is>
          <t>FITOMURCIA S.L.</t>
        </is>
      </c>
      <c r="D42" s="20" t="inlineStr">
        <is>
          <t>C-MB0020</t>
        </is>
      </c>
      <c r="E42" s="21" t="inlineStr">
        <is>
          <t>CODIFOL-MB, 20 L</t>
        </is>
      </c>
      <c r="F42" s="22" t="n">
        <v>0</v>
      </c>
      <c r="G42" s="23" t="n">
        <v>320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>
        <is>
          <t>Pedido extra no previsto</t>
        </is>
      </c>
      <c r="L42" s="27" t="n">
        <v>0</v>
      </c>
      <c r="M42" s="28" t="n">
        <v>0</v>
      </c>
      <c r="N42" s="27" t="n">
        <v>0</v>
      </c>
      <c r="O42" s="28" t="n">
        <v>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ESPAÑA</t>
        </is>
      </c>
      <c r="C43" s="21" t="inlineStr">
        <is>
          <t>FITOMURCIA S.L.</t>
        </is>
      </c>
      <c r="D43" s="20" t="inlineStr">
        <is>
          <t>FROST-P0020</t>
        </is>
      </c>
      <c r="E43" s="21" t="inlineStr">
        <is>
          <t>CODIFROST PLUS, 20 L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/>
      <c r="L43" s="27" t="n">
        <v>0</v>
      </c>
      <c r="M43" s="28" t="n">
        <v>0</v>
      </c>
      <c r="N43" s="27" t="n">
        <v>1280</v>
      </c>
      <c r="O43" s="28" t="n">
        <v>1280</v>
      </c>
      <c r="P43" s="27" t="n">
        <v>0</v>
      </c>
      <c r="Q43" s="28" t="n">
        <v>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ESPAÑA</t>
        </is>
      </c>
      <c r="C44" s="21" t="inlineStr">
        <is>
          <t>FITOMURCIA S.L.</t>
        </is>
      </c>
      <c r="D44" s="20" t="inlineStr">
        <is>
          <t>G30020</t>
        </is>
      </c>
      <c r="E44" s="21" t="inlineStr">
        <is>
          <t>GREEN-UP, 20 L</t>
        </is>
      </c>
      <c r="F44" s="22" t="n">
        <v>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/>
      <c r="L44" s="27" t="n">
        <v>1280</v>
      </c>
      <c r="M44" s="28" t="n">
        <v>1280</v>
      </c>
      <c r="N44" s="27" t="n">
        <v>1280</v>
      </c>
      <c r="O44" s="28" t="n">
        <v>1280</v>
      </c>
      <c r="P44" s="27" t="n">
        <v>0</v>
      </c>
      <c r="Q44" s="28" t="n">
        <v>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ESPAÑA</t>
        </is>
      </c>
      <c r="C45" s="21" t="inlineStr">
        <is>
          <t>FITOMURCIA S.L.</t>
        </is>
      </c>
      <c r="D45" s="20" t="inlineStr">
        <is>
          <t>HST0020</t>
        </is>
      </c>
      <c r="E45" s="21" t="inlineStr">
        <is>
          <t>HIDROSTRESS, 20 L</t>
        </is>
      </c>
      <c r="F45" s="22" t="n">
        <v>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1280</v>
      </c>
      <c r="M45" s="28" t="n">
        <v>1280</v>
      </c>
      <c r="N45" s="27" t="n">
        <v>1280</v>
      </c>
      <c r="O45" s="28" t="n">
        <v>1280</v>
      </c>
      <c r="P45" s="27" t="n">
        <v>0</v>
      </c>
      <c r="Q45" s="28" t="n">
        <v>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ESPAÑA</t>
        </is>
      </c>
      <c r="C46" s="21" t="inlineStr">
        <is>
          <t>FITOMURCIA S.L.</t>
        </is>
      </c>
      <c r="D46" s="20" t="inlineStr">
        <is>
          <t>N0020</t>
        </is>
      </c>
      <c r="E46" s="21" t="inlineStr">
        <is>
          <t>NUTRICALE, 20 L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1280</v>
      </c>
      <c r="M46" s="28" t="n">
        <v>1280</v>
      </c>
      <c r="N46" s="27" t="n">
        <v>1280</v>
      </c>
      <c r="O46" s="28" t="n">
        <v>1280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ESPAÑA</t>
        </is>
      </c>
      <c r="C47" s="21" t="inlineStr">
        <is>
          <t>FITOMURCIA S.L.</t>
        </is>
      </c>
      <c r="D47" s="20" t="inlineStr">
        <is>
          <t>PT0020</t>
        </is>
      </c>
      <c r="E47" s="21" t="inlineStr">
        <is>
          <t>AGROPOTASION, 20 L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1280</v>
      </c>
      <c r="M47" s="28" t="n">
        <v>1280</v>
      </c>
      <c r="N47" s="27" t="n">
        <v>1280</v>
      </c>
      <c r="O47" s="28" t="n">
        <v>1280</v>
      </c>
      <c r="P47" s="27" t="n">
        <v>0</v>
      </c>
      <c r="Q47" s="28" t="n">
        <v>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0" customHeight="1">
      <c r="B48" s="20" t="inlineStr">
        <is>
          <t>ESPAÑA</t>
        </is>
      </c>
      <c r="C48" s="21" t="inlineStr">
        <is>
          <t>FITOMURCIA S.L.</t>
        </is>
      </c>
      <c r="D48" s="20" t="inlineStr">
        <is>
          <t>S1000</t>
        </is>
      </c>
      <c r="E48" s="21" t="inlineStr">
        <is>
          <t>SAL-WAX STAR, 1000 L</t>
        </is>
      </c>
      <c r="F48" s="22" t="n">
        <v>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>
        <f>IF(F48&gt;0, 1.0 - (H48/F48), IF(G48=0, 1.0, 0.0))</f>
        <v/>
      </c>
      <c r="K48" s="26" t="inlineStr"/>
      <c r="L48" s="27" t="n">
        <v>9000</v>
      </c>
      <c r="M48" s="28" t="n">
        <v>9000</v>
      </c>
      <c r="N48" s="27" t="n">
        <v>9000</v>
      </c>
      <c r="O48" s="28" t="n">
        <v>9000</v>
      </c>
      <c r="P48" s="27" t="n">
        <v>0</v>
      </c>
      <c r="Q48" s="28" t="n">
        <v>0</v>
      </c>
      <c r="R48" s="22">
        <f>L48+N48+P48</f>
        <v/>
      </c>
      <c r="S48" s="23">
        <f>M48+O48+Q48</f>
        <v/>
      </c>
      <c r="T48" s="29">
        <f>S48-R48</f>
        <v/>
      </c>
      <c r="U48" s="30" t="inlineStr"/>
    </row>
    <row r="49" ht="20" customHeight="1">
      <c r="B49" s="20" t="inlineStr">
        <is>
          <t>ESPAÑA</t>
        </is>
      </c>
      <c r="C49" s="21" t="inlineStr">
        <is>
          <t>FITOMURCIA S.L.</t>
        </is>
      </c>
      <c r="D49" s="20" t="inlineStr">
        <is>
          <t>SPCE2B0020</t>
        </is>
      </c>
      <c r="E49" s="21" t="inlineStr">
        <is>
          <t>SPRINTENE CON BORO, 20 L</t>
        </is>
      </c>
      <c r="F49" s="22" t="n">
        <v>0</v>
      </c>
      <c r="G49" s="23" t="n">
        <v>200</v>
      </c>
      <c r="H49" s="22">
        <f>ABS(G49-F49)</f>
        <v/>
      </c>
      <c r="I49" s="24">
        <f>IF(F49&gt;0, G49/F49, IF(G49&gt;0, 1.0, 0.0))</f>
        <v/>
      </c>
      <c r="J49" s="25">
        <f>IF(F49&gt;0, 1.0 - (H49/F49), IF(G49=0, 1.0, 0.0))</f>
        <v/>
      </c>
      <c r="K49" s="26" t="inlineStr">
        <is>
          <t>Pedido extra no previsto</t>
        </is>
      </c>
      <c r="L49" s="27" t="n">
        <v>0</v>
      </c>
      <c r="M49" s="28" t="n">
        <v>0</v>
      </c>
      <c r="N49" s="27" t="n">
        <v>0</v>
      </c>
      <c r="O49" s="28" t="n">
        <v>0</v>
      </c>
      <c r="P49" s="27" t="n">
        <v>0</v>
      </c>
      <c r="Q49" s="28" t="n">
        <v>0</v>
      </c>
      <c r="R49" s="22">
        <f>L49+N49+P49</f>
        <v/>
      </c>
      <c r="S49" s="23">
        <f>M49+O49+Q49</f>
        <v/>
      </c>
      <c r="T49" s="29">
        <f>S49-R49</f>
        <v/>
      </c>
      <c r="U49" s="30" t="inlineStr"/>
    </row>
    <row r="50" ht="20" customHeight="1">
      <c r="B50" s="20" t="inlineStr">
        <is>
          <t>ESPAÑA</t>
        </is>
      </c>
      <c r="C50" s="21" t="inlineStr">
        <is>
          <t>FITOMURCIA S.L.</t>
        </is>
      </c>
      <c r="D50" s="20" t="inlineStr">
        <is>
          <t>SS0005</t>
        </is>
      </c>
      <c r="E50" s="21" t="inlineStr">
        <is>
          <t>SAL-WAX-Ca sólido, 5 KG</t>
        </is>
      </c>
      <c r="F50" s="22" t="n">
        <v>0</v>
      </c>
      <c r="G50" s="23" t="n">
        <v>300</v>
      </c>
      <c r="H50" s="22">
        <f>ABS(G50-F50)</f>
        <v/>
      </c>
      <c r="I50" s="24">
        <f>IF(F50&gt;0, G50/F50, IF(G50&gt;0, 1.0, 0.0))</f>
        <v/>
      </c>
      <c r="J50" s="25">
        <f>IF(F50&gt;0, 1.0 - (H50/F50), IF(G50=0, 1.0, 0.0))</f>
        <v/>
      </c>
      <c r="K50" s="26" t="inlineStr">
        <is>
          <t>Pedido extra no previsto</t>
        </is>
      </c>
      <c r="L50" s="27" t="n">
        <v>0</v>
      </c>
      <c r="M50" s="28" t="n">
        <v>0</v>
      </c>
      <c r="N50" s="27" t="n">
        <v>0</v>
      </c>
      <c r="O50" s="28" t="n">
        <v>0</v>
      </c>
      <c r="P50" s="27" t="n">
        <v>0</v>
      </c>
      <c r="Q50" s="28" t="n">
        <v>0</v>
      </c>
      <c r="R50" s="22">
        <f>L50+N50+P50</f>
        <v/>
      </c>
      <c r="S50" s="23">
        <f>M50+O50+Q50</f>
        <v/>
      </c>
      <c r="T50" s="29">
        <f>S50-R50</f>
        <v/>
      </c>
      <c r="U50" s="30" t="inlineStr"/>
    </row>
    <row r="51" ht="20" customHeight="1">
      <c r="B51" s="20" t="inlineStr">
        <is>
          <t>ESPAÑA</t>
        </is>
      </c>
      <c r="C51" s="21" t="inlineStr">
        <is>
          <t>FITOMURCIA S.L.</t>
        </is>
      </c>
      <c r="D51" s="20" t="inlineStr">
        <is>
          <t>SS0020</t>
        </is>
      </c>
      <c r="E51" s="21" t="inlineStr">
        <is>
          <t>SAL-WAX-Ca sólido, 20 KG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>
        <f>IF(F51&gt;0, 1.0 - (H51/F51), IF(G51=0, 1.0, 0.0))</f>
        <v/>
      </c>
      <c r="K51" s="26" t="inlineStr"/>
      <c r="L51" s="27" t="n">
        <v>800</v>
      </c>
      <c r="M51" s="28" t="n">
        <v>800</v>
      </c>
      <c r="N51" s="27" t="n">
        <v>800</v>
      </c>
      <c r="O51" s="28" t="n">
        <v>800</v>
      </c>
      <c r="P51" s="27" t="n">
        <v>0</v>
      </c>
      <c r="Q51" s="28" t="n">
        <v>0</v>
      </c>
      <c r="R51" s="22">
        <f>L51+N51+P51</f>
        <v/>
      </c>
      <c r="S51" s="23">
        <f>M51+O51+Q51</f>
        <v/>
      </c>
      <c r="T51" s="29">
        <f>S51-R51</f>
        <v/>
      </c>
      <c r="U51" s="30" t="inlineStr"/>
    </row>
    <row r="52" ht="25" customHeight="1">
      <c r="B52" s="31" t="inlineStr">
        <is>
          <t>TOTAL CONSOLIDADO - PEDRO (UNIDADES)</t>
        </is>
      </c>
      <c r="C52" s="32" t="n"/>
      <c r="D52" s="32" t="n"/>
      <c r="E52" s="32" t="n"/>
      <c r="F52" s="33">
        <f>SUM(F10:F51)</f>
        <v/>
      </c>
      <c r="G52" s="33">
        <f>SUM(G10:G51)</f>
        <v/>
      </c>
      <c r="H52" s="33">
        <f>SUM(H10:H51)</f>
        <v/>
      </c>
      <c r="I52" s="34">
        <f>IF(F52&gt;0, G52/F52, 1.0)</f>
        <v/>
      </c>
      <c r="J52" s="34">
        <f>IF(F52&gt;0, 1.0 - (H52/F52), 1.0)</f>
        <v/>
      </c>
      <c r="K52" s="35" t="n"/>
      <c r="L52" s="33">
        <f>SUM(L10:L51)</f>
        <v/>
      </c>
      <c r="M52" s="33">
        <f>SUM(M10:M51)</f>
        <v/>
      </c>
      <c r="N52" s="33">
        <f>SUM(N10:N51)</f>
        <v/>
      </c>
      <c r="O52" s="33">
        <f>SUM(O10:O51)</f>
        <v/>
      </c>
      <c r="P52" s="33">
        <f>SUM(P10:P51)</f>
        <v/>
      </c>
      <c r="Q52" s="33">
        <f>SUM(Q10:Q51)</f>
        <v/>
      </c>
      <c r="R52" s="33">
        <f>SUM(R10:R51)</f>
        <v/>
      </c>
      <c r="S52" s="33">
        <f>SUM(S10:S51)</f>
        <v/>
      </c>
      <c r="T52" s="36">
        <f>SUM(T10:T51)</f>
        <v/>
      </c>
      <c r="U52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52:E52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2026-10-01T12:02:02Z</dcterms:created>
  <dcterms:modified xmlns:dcterms="http://purl.org/dc/terms/" xmlns:xsi="http://www.w3.org/2001/XMLSchema-instance" xsi:type="dcterms:W3CDTF">2026-10-01T12:02:02Z</dcterms:modified>
</cp:coreProperties>
</file>