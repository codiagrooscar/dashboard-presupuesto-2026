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pedroj_medina_codiagro_com/Documents/Escritorio/"/>
    </mc:Choice>
  </mc:AlternateContent>
  <xr:revisionPtr revIDLastSave="21" documentId="8_{74DD2FB3-F43E-4A65-A0D7-0E4029B1B296}" xr6:coauthVersionLast="47" xr6:coauthVersionMax="47" xr10:uidLastSave="{CAEC674C-0147-44AA-94D1-E29075C45B79}"/>
  <bookViews>
    <workbookView xWindow="-110" yWindow="-110" windowWidth="19420" windowHeight="11500" xr2:uid="{00000000-000D-0000-FFFF-FFFF00000000}"/>
  </bookViews>
  <sheets>
    <sheet name="Previsiones_Ped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" l="1"/>
  <c r="O52" i="1"/>
  <c r="N52" i="1"/>
  <c r="M52" i="1"/>
  <c r="L52" i="1"/>
  <c r="K52" i="1"/>
  <c r="I52" i="1"/>
  <c r="H6" i="1" s="1"/>
  <c r="G52" i="1"/>
  <c r="E6" i="1" s="1"/>
  <c r="F52" i="1"/>
  <c r="R51" i="1"/>
  <c r="S51" i="1" s="1"/>
  <c r="Q51" i="1"/>
  <c r="I51" i="1"/>
  <c r="H51" i="1"/>
  <c r="R50" i="1"/>
  <c r="S50" i="1" s="1"/>
  <c r="Q50" i="1"/>
  <c r="I50" i="1"/>
  <c r="H50" i="1"/>
  <c r="R49" i="1"/>
  <c r="S49" i="1" s="1"/>
  <c r="Q49" i="1"/>
  <c r="I49" i="1"/>
  <c r="H49" i="1"/>
  <c r="R48" i="1"/>
  <c r="S48" i="1" s="1"/>
  <c r="Q48" i="1"/>
  <c r="I48" i="1"/>
  <c r="H48" i="1"/>
  <c r="R47" i="1"/>
  <c r="S47" i="1" s="1"/>
  <c r="Q47" i="1"/>
  <c r="I47" i="1"/>
  <c r="H47" i="1"/>
  <c r="S46" i="1"/>
  <c r="R46" i="1"/>
  <c r="Q46" i="1"/>
  <c r="I46" i="1"/>
  <c r="H46" i="1"/>
  <c r="R45" i="1"/>
  <c r="S45" i="1" s="1"/>
  <c r="Q45" i="1"/>
  <c r="I45" i="1"/>
  <c r="H45" i="1"/>
  <c r="R44" i="1"/>
  <c r="S44" i="1" s="1"/>
  <c r="Q44" i="1"/>
  <c r="I44" i="1"/>
  <c r="H44" i="1"/>
  <c r="S43" i="1"/>
  <c r="R43" i="1"/>
  <c r="Q43" i="1"/>
  <c r="I43" i="1"/>
  <c r="H43" i="1"/>
  <c r="R42" i="1"/>
  <c r="S42" i="1" s="1"/>
  <c r="Q42" i="1"/>
  <c r="I42" i="1"/>
  <c r="H42" i="1"/>
  <c r="R41" i="1"/>
  <c r="S41" i="1" s="1"/>
  <c r="Q41" i="1"/>
  <c r="I41" i="1"/>
  <c r="H41" i="1"/>
  <c r="R40" i="1"/>
  <c r="S40" i="1" s="1"/>
  <c r="Q40" i="1"/>
  <c r="I40" i="1"/>
  <c r="H40" i="1"/>
  <c r="R39" i="1"/>
  <c r="S39" i="1" s="1"/>
  <c r="Q39" i="1"/>
  <c r="I39" i="1"/>
  <c r="H39" i="1"/>
  <c r="R38" i="1"/>
  <c r="S38" i="1" s="1"/>
  <c r="Q38" i="1"/>
  <c r="I38" i="1"/>
  <c r="H38" i="1"/>
  <c r="R37" i="1"/>
  <c r="Q37" i="1"/>
  <c r="S37" i="1" s="1"/>
  <c r="I37" i="1"/>
  <c r="H37" i="1"/>
  <c r="R36" i="1"/>
  <c r="S36" i="1" s="1"/>
  <c r="Q36" i="1"/>
  <c r="I36" i="1"/>
  <c r="H36" i="1"/>
  <c r="R35" i="1"/>
  <c r="S35" i="1" s="1"/>
  <c r="Q35" i="1"/>
  <c r="I35" i="1"/>
  <c r="H35" i="1"/>
  <c r="R34" i="1"/>
  <c r="S34" i="1" s="1"/>
  <c r="Q34" i="1"/>
  <c r="I34" i="1"/>
  <c r="H34" i="1"/>
  <c r="R33" i="1"/>
  <c r="S33" i="1" s="1"/>
  <c r="Q33" i="1"/>
  <c r="I33" i="1"/>
  <c r="H33" i="1"/>
  <c r="R32" i="1"/>
  <c r="S32" i="1" s="1"/>
  <c r="Q32" i="1"/>
  <c r="I32" i="1"/>
  <c r="H32" i="1"/>
  <c r="R31" i="1"/>
  <c r="S31" i="1" s="1"/>
  <c r="Q31" i="1"/>
  <c r="I31" i="1"/>
  <c r="H31" i="1"/>
  <c r="R30" i="1"/>
  <c r="S30" i="1" s="1"/>
  <c r="Q30" i="1"/>
  <c r="I30" i="1"/>
  <c r="H30" i="1"/>
  <c r="R29" i="1"/>
  <c r="S29" i="1" s="1"/>
  <c r="Q29" i="1"/>
  <c r="I29" i="1"/>
  <c r="H29" i="1"/>
  <c r="R28" i="1"/>
  <c r="S28" i="1" s="1"/>
  <c r="Q28" i="1"/>
  <c r="I28" i="1"/>
  <c r="H28" i="1"/>
  <c r="R27" i="1"/>
  <c r="S27" i="1" s="1"/>
  <c r="Q27" i="1"/>
  <c r="I27" i="1"/>
  <c r="H27" i="1"/>
  <c r="R26" i="1"/>
  <c r="S26" i="1" s="1"/>
  <c r="Q26" i="1"/>
  <c r="I26" i="1"/>
  <c r="H26" i="1"/>
  <c r="R25" i="1"/>
  <c r="S25" i="1" s="1"/>
  <c r="Q25" i="1"/>
  <c r="I25" i="1"/>
  <c r="H25" i="1"/>
  <c r="R24" i="1"/>
  <c r="S24" i="1" s="1"/>
  <c r="Q24" i="1"/>
  <c r="I24" i="1"/>
  <c r="H24" i="1"/>
  <c r="R23" i="1"/>
  <c r="Q23" i="1"/>
  <c r="S23" i="1" s="1"/>
  <c r="I23" i="1"/>
  <c r="H23" i="1"/>
  <c r="R22" i="1"/>
  <c r="S22" i="1" s="1"/>
  <c r="Q22" i="1"/>
  <c r="I22" i="1"/>
  <c r="H22" i="1"/>
  <c r="R21" i="1"/>
  <c r="S21" i="1" s="1"/>
  <c r="Q21" i="1"/>
  <c r="I21" i="1"/>
  <c r="H21" i="1"/>
  <c r="R20" i="1"/>
  <c r="S20" i="1" s="1"/>
  <c r="Q20" i="1"/>
  <c r="I20" i="1"/>
  <c r="H20" i="1"/>
  <c r="R19" i="1"/>
  <c r="S19" i="1" s="1"/>
  <c r="Q19" i="1"/>
  <c r="I19" i="1"/>
  <c r="H19" i="1"/>
  <c r="R18" i="1"/>
  <c r="S18" i="1" s="1"/>
  <c r="Q18" i="1"/>
  <c r="I18" i="1"/>
  <c r="H18" i="1"/>
  <c r="R17" i="1"/>
  <c r="S17" i="1" s="1"/>
  <c r="Q17" i="1"/>
  <c r="I17" i="1"/>
  <c r="H17" i="1"/>
  <c r="R16" i="1"/>
  <c r="S16" i="1" s="1"/>
  <c r="Q16" i="1"/>
  <c r="I16" i="1"/>
  <c r="H16" i="1"/>
  <c r="R15" i="1"/>
  <c r="Q15" i="1"/>
  <c r="S15" i="1" s="1"/>
  <c r="I15" i="1"/>
  <c r="H15" i="1"/>
  <c r="R14" i="1"/>
  <c r="S14" i="1" s="1"/>
  <c r="Q14" i="1"/>
  <c r="I14" i="1"/>
  <c r="H14" i="1"/>
  <c r="R13" i="1"/>
  <c r="Q13" i="1"/>
  <c r="I13" i="1"/>
  <c r="H13" i="1"/>
  <c r="H52" i="1" s="1"/>
  <c r="R12" i="1"/>
  <c r="S12" i="1" s="1"/>
  <c r="Q12" i="1"/>
  <c r="I12" i="1"/>
  <c r="H12" i="1"/>
  <c r="R11" i="1"/>
  <c r="Q11" i="1"/>
  <c r="I11" i="1"/>
  <c r="H11" i="1"/>
  <c r="R10" i="1"/>
  <c r="Q10" i="1"/>
  <c r="Q52" i="1" s="1"/>
  <c r="K6" i="1" s="1"/>
  <c r="I10" i="1"/>
  <c r="H10" i="1"/>
  <c r="B6" i="1"/>
  <c r="S13" i="1" l="1"/>
  <c r="R52" i="1"/>
  <c r="N6" i="1" s="1"/>
  <c r="S11" i="1"/>
  <c r="S10" i="1"/>
  <c r="S52" i="1" l="1"/>
  <c r="Q6" i="1" s="1"/>
</calcChain>
</file>

<file path=xl/sharedStrings.xml><?xml version="1.0" encoding="utf-8"?>
<sst xmlns="http://schemas.openxmlformats.org/spreadsheetml/2006/main" count="222" uniqueCount="106">
  <si>
    <t>CODIAGRO · ACTUALIZACIÓN DE PREVISIONES COMERCIALES Q4 2026 (OCTUBRE - DICIEMBRE)</t>
  </si>
  <si>
    <t>DELEGADO COMERCIAL: PEDRO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</si>
  <si>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</si>
  <si>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</si>
  <si>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</si>
  <si>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</si>
  <si>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</si>
  <si>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</si>
  <si>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</si>
  <si>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</si>
  <si>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</si>
  <si>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</si>
  <si>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</si>
  <si>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</si>
  <si>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</si>
  <si>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</si>
  <si>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</si>
  <si>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</si>
  <si>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</si>
  <si>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</si>
  <si>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</si>
  <si>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</si>
  <si>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</si>
  <si>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</si>
  <si>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</si>
  <si>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</si>
  <si>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</si>
  <si>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</si>
  <si>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</si>
  <si>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</si>
  <si>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</si>
  <si>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</si>
  <si>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ESPAÑA</t>
  </si>
  <si>
    <t>ASESORAMIENTO TECNICO DE CULTIVOS, S.L.</t>
  </si>
  <si>
    <t>AGXK0020</t>
  </si>
  <si>
    <t>AGROXILATO-K, 20 L</t>
  </si>
  <si>
    <t>B0005</t>
  </si>
  <si>
    <t>BOROCAL, 5 L</t>
  </si>
  <si>
    <t>B0020</t>
  </si>
  <si>
    <t>BOROCAL, 20 L</t>
  </si>
  <si>
    <t>C-CU0020</t>
  </si>
  <si>
    <t>CODICOBRE, 20 L</t>
  </si>
  <si>
    <t>CBASI0005</t>
  </si>
  <si>
    <t>BIOCULTURE BASI, 5 KG</t>
  </si>
  <si>
    <t>PT0020</t>
  </si>
  <si>
    <t>AGROPOTASION, 20 L</t>
  </si>
  <si>
    <t>COMERCIAL TÉCNICA FITOCARTHAGO, S.L.</t>
  </si>
  <si>
    <t>AGXK0200</t>
  </si>
  <si>
    <t>AGROXILATO-K, 200 L</t>
  </si>
  <si>
    <t>AGXK1000</t>
  </si>
  <si>
    <t>AGROXILATO-K, 1000 L</t>
  </si>
  <si>
    <t>AN0020</t>
  </si>
  <si>
    <t>ALCAPLANT NEW, 20 KG</t>
  </si>
  <si>
    <t>ANAE0020</t>
  </si>
  <si>
    <t>ALCAPLANT NEW AE, 20 KG</t>
  </si>
  <si>
    <t>AQUOM0020</t>
  </si>
  <si>
    <t>AQUOM, 20 L</t>
  </si>
  <si>
    <t>Pedido extra no previsto</t>
  </si>
  <si>
    <t>FROST-P0020</t>
  </si>
  <si>
    <t>CODIFROST PLUS, 20 L</t>
  </si>
  <si>
    <t>N0200</t>
  </si>
  <si>
    <t>NUTRICALE, 200 L</t>
  </si>
  <si>
    <t>PT0200</t>
  </si>
  <si>
    <t>AGROPOTASION, 200 L</t>
  </si>
  <si>
    <t>PT1000</t>
  </si>
  <si>
    <t>AGROPOTASION, 1000 L</t>
  </si>
  <si>
    <t>S0020</t>
  </si>
  <si>
    <t>SAL-WAX STAR, 20 L</t>
  </si>
  <si>
    <t>S0200</t>
  </si>
  <si>
    <t>SAL-WAX STAR, 200 L</t>
  </si>
  <si>
    <t>S1000</t>
  </si>
  <si>
    <t>SAL-WAX STAR, 1000 L</t>
  </si>
  <si>
    <t>SPCE2B0020</t>
  </si>
  <si>
    <t>SPRINTENE CON BORO, 20 L</t>
  </si>
  <si>
    <t>SS0020</t>
  </si>
  <si>
    <t>SAL-WAX-Ca sólido, 20 KG</t>
  </si>
  <si>
    <t>FITOMURCIA S.L.</t>
  </si>
  <si>
    <t>A-50(2)0005</t>
  </si>
  <si>
    <t>CODIORGAN A-50, 5 KG</t>
  </si>
  <si>
    <t>AGXKC0020</t>
  </si>
  <si>
    <t>AGROXILATO-COMPLET, 20 L</t>
  </si>
  <si>
    <t>AGXKC1000</t>
  </si>
  <si>
    <t>AGROXILATO-COMPLET, 1000 L</t>
  </si>
  <si>
    <t>AGZNP0005</t>
  </si>
  <si>
    <t>AGROXILATO-ZN PLUS, 5 KG</t>
  </si>
  <si>
    <t>BIO0020</t>
  </si>
  <si>
    <t>BIORAD-20, 20 L</t>
  </si>
  <si>
    <t>BIO1000</t>
  </si>
  <si>
    <t>BIORAD-20, 1000 L</t>
  </si>
  <si>
    <t>C-L0020</t>
  </si>
  <si>
    <t>CODIBOR-L, 20 L</t>
  </si>
  <si>
    <t>C-MB0005</t>
  </si>
  <si>
    <t>CODIFOL-MB, 5 L</t>
  </si>
  <si>
    <t>C-MB0020</t>
  </si>
  <si>
    <t>CODIFOL-MB, 20 L</t>
  </si>
  <si>
    <t>G30020</t>
  </si>
  <si>
    <t>GREEN-UP, 20 L</t>
  </si>
  <si>
    <t>HST0020</t>
  </si>
  <si>
    <t>HIDROSTRESS, 20 L</t>
  </si>
  <si>
    <t>N0020</t>
  </si>
  <si>
    <t>NUTRICALE, 20 L</t>
  </si>
  <si>
    <t>SS0005</t>
  </si>
  <si>
    <t>SAL-WAX-Ca sólido, 5 KG</t>
  </si>
  <si>
    <t>TOTAL CONSOLIDADO - PEDRO (UNIDADES)</t>
  </si>
  <si>
    <t>Atraso de pedidos</t>
  </si>
  <si>
    <t>Adelanto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</si>
</sst>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0"/>
      <color rgb="FF0F172A"/>
      <name val="Segoe UI"/>
    </font>
    <font>
      <b/>
      <sz val="9"/>
      <color rgb="FF64748B"/>
      <name val="Segoe UI"/>
    </font>
    <font>
      <b/>
      <sz val="13"/>
      <color rgb="FF1D4ED8"/>
      <name val="Segoe UI"/>
    </font>
    <font>
      <b/>
      <sz val="13"/>
      <color rgb="FF047857"/>
      <name val="Segoe UI"/>
    </font>
    <font>
      <b/>
      <sz val="13"/>
      <color rgb="FF0F172A"/>
      <name val="Segoe UI"/>
    </font>
    <font>
      <b/>
      <sz val="13"/>
      <color rgb="FFB4530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0" fontId="10" fillId="16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7" fontId="14" fillId="16" borderId="1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2"/>
  <sheetViews>
    <sheetView tabSelected="1" topLeftCell="A7" workbookViewId="0">
      <selection activeCell="L32" sqref="L32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3" width="34" customWidth="1"/>
    <col min="4" max="4" width="14" customWidth="1"/>
    <col min="5" max="5" width="32" customWidth="1"/>
    <col min="6" max="6" width="16" customWidth="1"/>
    <col min="7" max="7" width="15" customWidth="1"/>
    <col min="8" max="8" width="14" customWidth="1"/>
    <col min="9" max="9" width="13" customWidth="1"/>
    <col min="10" max="10" width="32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8" width="17" customWidth="1"/>
    <col min="19" max="19" width="15" customWidth="1"/>
    <col min="20" max="20" width="34" customWidth="1"/>
  </cols>
  <sheetData>
    <row r="2" spans="2:20" ht="36" customHeight="1" x14ac:dyDescent="0.35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2:20" ht="20" customHeight="1" x14ac:dyDescent="0.35">
      <c r="B3" s="29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2:20" ht="26" customHeight="1" x14ac:dyDescent="0.35">
      <c r="B4" s="35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2:20" ht="16" customHeight="1" x14ac:dyDescent="0.35">
      <c r="B5" s="26" t="s">
        <v>3</v>
      </c>
      <c r="C5" s="21"/>
      <c r="D5" s="21"/>
      <c r="E5" s="25" t="s">
        <v>4</v>
      </c>
      <c r="F5" s="21"/>
      <c r="G5" s="21"/>
      <c r="H5" s="32" t="s">
        <v>5</v>
      </c>
      <c r="I5" s="21"/>
      <c r="J5" s="21"/>
      <c r="K5" s="26" t="s">
        <v>6</v>
      </c>
      <c r="L5" s="21"/>
      <c r="M5" s="21"/>
      <c r="N5" s="25" t="s">
        <v>7</v>
      </c>
      <c r="O5" s="21"/>
      <c r="P5" s="21"/>
      <c r="Q5" s="20" t="s">
        <v>8</v>
      </c>
      <c r="R5" s="21"/>
      <c r="S5" s="21"/>
      <c r="T5" s="21"/>
    </row>
    <row r="6" spans="2:20" ht="26" customHeight="1" x14ac:dyDescent="0.35">
      <c r="B6" s="31">
        <f>F52</f>
        <v>17340</v>
      </c>
      <c r="C6" s="21"/>
      <c r="D6" s="21"/>
      <c r="E6" s="33">
        <f>G52</f>
        <v>8560</v>
      </c>
      <c r="F6" s="21"/>
      <c r="G6" s="21"/>
      <c r="H6" s="28">
        <f>I52</f>
        <v>0.49365628604382927</v>
      </c>
      <c r="I6" s="21"/>
      <c r="J6" s="21"/>
      <c r="K6" s="31">
        <f>Q52</f>
        <v>101360</v>
      </c>
      <c r="L6" s="21"/>
      <c r="M6" s="21"/>
      <c r="N6" s="33">
        <f>R52</f>
        <v>99540</v>
      </c>
      <c r="O6" s="21"/>
      <c r="P6" s="21"/>
      <c r="Q6" s="27">
        <f>S52</f>
        <v>-1820</v>
      </c>
      <c r="R6" s="21"/>
      <c r="S6" s="21"/>
      <c r="T6" s="21"/>
    </row>
    <row r="8" spans="2:20" ht="22" customHeight="1" x14ac:dyDescent="0.35">
      <c r="B8" s="24" t="s">
        <v>9</v>
      </c>
      <c r="C8" s="23"/>
      <c r="D8" s="23"/>
      <c r="E8" s="23"/>
      <c r="F8" s="36" t="s">
        <v>10</v>
      </c>
      <c r="G8" s="23"/>
      <c r="H8" s="23"/>
      <c r="I8" s="23"/>
      <c r="J8" s="23"/>
      <c r="K8" s="34" t="s">
        <v>11</v>
      </c>
      <c r="L8" s="23"/>
      <c r="M8" s="23"/>
      <c r="N8" s="23"/>
      <c r="O8" s="23"/>
      <c r="P8" s="23"/>
      <c r="Q8" s="30" t="s">
        <v>12</v>
      </c>
      <c r="R8" s="23"/>
      <c r="S8" s="23"/>
      <c r="T8" s="23"/>
    </row>
    <row r="9" spans="2:20" ht="28" customHeight="1" x14ac:dyDescent="0.35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2:20" ht="20" customHeight="1" x14ac:dyDescent="0.35">
      <c r="B10" s="4" t="s">
        <v>32</v>
      </c>
      <c r="C10" s="5" t="s">
        <v>33</v>
      </c>
      <c r="D10" s="4" t="s">
        <v>34</v>
      </c>
      <c r="E10" s="5" t="s">
        <v>35</v>
      </c>
      <c r="F10" s="6">
        <v>640</v>
      </c>
      <c r="G10" s="7">
        <v>0</v>
      </c>
      <c r="H10" s="6">
        <f t="shared" ref="H10:H51" si="0">ABS(G10-F10)</f>
        <v>640</v>
      </c>
      <c r="I10" s="8">
        <f t="shared" ref="I10:I51" si="1">IF(F10&gt;0, G10/F10, IF(G10&gt;0, 1, 0))</f>
        <v>0</v>
      </c>
      <c r="J10" s="9" t="s">
        <v>104</v>
      </c>
      <c r="K10" s="10">
        <v>640</v>
      </c>
      <c r="L10" s="11">
        <v>640</v>
      </c>
      <c r="M10" s="10">
        <v>0</v>
      </c>
      <c r="N10" s="11">
        <v>0</v>
      </c>
      <c r="O10" s="10">
        <v>0</v>
      </c>
      <c r="P10" s="11">
        <v>0</v>
      </c>
      <c r="Q10" s="6">
        <f t="shared" ref="Q10:Q51" si="2">K10+M10+O10</f>
        <v>640</v>
      </c>
      <c r="R10" s="7">
        <f t="shared" ref="R10:R51" si="3">L10+N10+P10</f>
        <v>640</v>
      </c>
      <c r="S10" s="12">
        <f t="shared" ref="S10:S51" si="4">R10-Q10</f>
        <v>0</v>
      </c>
      <c r="T10" s="13"/>
    </row>
    <row r="11" spans="2:20" ht="20" customHeight="1" x14ac:dyDescent="0.35">
      <c r="B11" s="4" t="s">
        <v>32</v>
      </c>
      <c r="C11" s="5" t="s">
        <v>33</v>
      </c>
      <c r="D11" s="4" t="s">
        <v>36</v>
      </c>
      <c r="E11" s="5" t="s">
        <v>37</v>
      </c>
      <c r="F11" s="6">
        <v>300</v>
      </c>
      <c r="G11" s="7">
        <v>0</v>
      </c>
      <c r="H11" s="6">
        <f t="shared" si="0"/>
        <v>300</v>
      </c>
      <c r="I11" s="8">
        <f t="shared" si="1"/>
        <v>0</v>
      </c>
      <c r="J11" s="9" t="s">
        <v>104</v>
      </c>
      <c r="K11" s="10">
        <v>0</v>
      </c>
      <c r="L11" s="11">
        <v>300</v>
      </c>
      <c r="M11" s="10">
        <v>0</v>
      </c>
      <c r="N11" s="11">
        <v>0</v>
      </c>
      <c r="O11" s="10">
        <v>0</v>
      </c>
      <c r="P11" s="11">
        <v>0</v>
      </c>
      <c r="Q11" s="6">
        <f t="shared" si="2"/>
        <v>0</v>
      </c>
      <c r="R11" s="7">
        <f t="shared" si="3"/>
        <v>300</v>
      </c>
      <c r="S11" s="12">
        <f t="shared" si="4"/>
        <v>300</v>
      </c>
      <c r="T11" s="13"/>
    </row>
    <row r="12" spans="2:20" ht="20" customHeight="1" x14ac:dyDescent="0.35">
      <c r="B12" s="4" t="s">
        <v>32</v>
      </c>
      <c r="C12" s="5" t="s">
        <v>33</v>
      </c>
      <c r="D12" s="4" t="s">
        <v>38</v>
      </c>
      <c r="E12" s="5" t="s">
        <v>39</v>
      </c>
      <c r="F12" s="6">
        <v>1280</v>
      </c>
      <c r="G12" s="7">
        <v>0</v>
      </c>
      <c r="H12" s="6">
        <f t="shared" si="0"/>
        <v>1280</v>
      </c>
      <c r="I12" s="8">
        <f t="shared" si="1"/>
        <v>0</v>
      </c>
      <c r="J12" s="9" t="s">
        <v>104</v>
      </c>
      <c r="K12" s="10">
        <v>640</v>
      </c>
      <c r="L12" s="11">
        <v>1280</v>
      </c>
      <c r="M12" s="10">
        <v>640</v>
      </c>
      <c r="N12" s="11">
        <v>640</v>
      </c>
      <c r="O12" s="10">
        <v>0</v>
      </c>
      <c r="P12" s="11">
        <v>0</v>
      </c>
      <c r="Q12" s="6">
        <f t="shared" si="2"/>
        <v>1280</v>
      </c>
      <c r="R12" s="7">
        <f t="shared" si="3"/>
        <v>1920</v>
      </c>
      <c r="S12" s="12">
        <f t="shared" si="4"/>
        <v>640</v>
      </c>
      <c r="T12" s="13"/>
    </row>
    <row r="13" spans="2:20" ht="20" customHeight="1" x14ac:dyDescent="0.35">
      <c r="B13" s="4" t="s">
        <v>32</v>
      </c>
      <c r="C13" s="5" t="s">
        <v>33</v>
      </c>
      <c r="D13" s="4" t="s">
        <v>40</v>
      </c>
      <c r="E13" s="5" t="s">
        <v>41</v>
      </c>
      <c r="F13" s="6">
        <v>1280</v>
      </c>
      <c r="G13" s="7">
        <v>0</v>
      </c>
      <c r="H13" s="6">
        <f t="shared" si="0"/>
        <v>1280</v>
      </c>
      <c r="I13" s="8">
        <f t="shared" si="1"/>
        <v>0</v>
      </c>
      <c r="J13" s="9" t="s">
        <v>104</v>
      </c>
      <c r="K13" s="10">
        <v>640</v>
      </c>
      <c r="L13" s="11">
        <v>1280</v>
      </c>
      <c r="M13" s="10">
        <v>1280</v>
      </c>
      <c r="N13" s="11">
        <v>1280</v>
      </c>
      <c r="O13" s="10">
        <v>0</v>
      </c>
      <c r="P13" s="11">
        <v>0</v>
      </c>
      <c r="Q13" s="6">
        <f t="shared" si="2"/>
        <v>1920</v>
      </c>
      <c r="R13" s="7">
        <f t="shared" si="3"/>
        <v>2560</v>
      </c>
      <c r="S13" s="12">
        <f t="shared" si="4"/>
        <v>640</v>
      </c>
      <c r="T13" s="13"/>
    </row>
    <row r="14" spans="2:20" ht="20" customHeight="1" x14ac:dyDescent="0.35">
      <c r="B14" s="4" t="s">
        <v>32</v>
      </c>
      <c r="C14" s="5" t="s">
        <v>33</v>
      </c>
      <c r="D14" s="4" t="s">
        <v>42</v>
      </c>
      <c r="E14" s="5" t="s">
        <v>43</v>
      </c>
      <c r="F14" s="6">
        <v>0</v>
      </c>
      <c r="G14" s="7">
        <v>0</v>
      </c>
      <c r="H14" s="6">
        <f t="shared" si="0"/>
        <v>0</v>
      </c>
      <c r="I14" s="8">
        <f t="shared" si="1"/>
        <v>0</v>
      </c>
      <c r="J14" s="9"/>
      <c r="K14" s="10">
        <v>500</v>
      </c>
      <c r="L14" s="11">
        <v>500</v>
      </c>
      <c r="M14" s="10">
        <v>0</v>
      </c>
      <c r="N14" s="11">
        <v>0</v>
      </c>
      <c r="O14" s="10">
        <v>0</v>
      </c>
      <c r="P14" s="11">
        <v>0</v>
      </c>
      <c r="Q14" s="6">
        <f t="shared" si="2"/>
        <v>500</v>
      </c>
      <c r="R14" s="7">
        <f t="shared" si="3"/>
        <v>500</v>
      </c>
      <c r="S14" s="12">
        <f t="shared" si="4"/>
        <v>0</v>
      </c>
      <c r="T14" s="13"/>
    </row>
    <row r="15" spans="2:20" ht="20" customHeight="1" x14ac:dyDescent="0.35">
      <c r="B15" s="4" t="s">
        <v>32</v>
      </c>
      <c r="C15" s="5" t="s">
        <v>33</v>
      </c>
      <c r="D15" s="4" t="s">
        <v>44</v>
      </c>
      <c r="E15" s="5" t="s">
        <v>45</v>
      </c>
      <c r="F15" s="6">
        <v>2560</v>
      </c>
      <c r="G15" s="7">
        <v>1920</v>
      </c>
      <c r="H15" s="6">
        <f t="shared" si="0"/>
        <v>640</v>
      </c>
      <c r="I15" s="8">
        <f t="shared" si="1"/>
        <v>0.75</v>
      </c>
      <c r="J15" s="9" t="s">
        <v>104</v>
      </c>
      <c r="K15" s="10">
        <v>1920</v>
      </c>
      <c r="L15" s="11">
        <v>1920</v>
      </c>
      <c r="M15" s="10">
        <v>1920</v>
      </c>
      <c r="N15" s="11">
        <v>1920</v>
      </c>
      <c r="O15" s="10">
        <v>0</v>
      </c>
      <c r="P15" s="11">
        <v>0</v>
      </c>
      <c r="Q15" s="6">
        <f t="shared" si="2"/>
        <v>3840</v>
      </c>
      <c r="R15" s="7">
        <f t="shared" si="3"/>
        <v>3840</v>
      </c>
      <c r="S15" s="12">
        <f t="shared" si="4"/>
        <v>0</v>
      </c>
      <c r="T15" s="13"/>
    </row>
    <row r="16" spans="2:20" ht="20" customHeight="1" x14ac:dyDescent="0.35">
      <c r="B16" s="4" t="s">
        <v>32</v>
      </c>
      <c r="C16" s="5" t="s">
        <v>46</v>
      </c>
      <c r="D16" s="4" t="s">
        <v>47</v>
      </c>
      <c r="E16" s="5" t="s">
        <v>48</v>
      </c>
      <c r="F16" s="6">
        <v>400</v>
      </c>
      <c r="G16" s="7">
        <v>0</v>
      </c>
      <c r="H16" s="6">
        <f t="shared" si="0"/>
        <v>400</v>
      </c>
      <c r="I16" s="8">
        <f t="shared" si="1"/>
        <v>0</v>
      </c>
      <c r="J16" s="9" t="s">
        <v>104</v>
      </c>
      <c r="K16" s="10">
        <v>800</v>
      </c>
      <c r="L16" s="11">
        <v>800</v>
      </c>
      <c r="M16" s="10">
        <v>0</v>
      </c>
      <c r="N16" s="11">
        <v>0</v>
      </c>
      <c r="O16" s="10">
        <v>0</v>
      </c>
      <c r="P16" s="11">
        <v>0</v>
      </c>
      <c r="Q16" s="6">
        <f t="shared" si="2"/>
        <v>800</v>
      </c>
      <c r="R16" s="7">
        <f t="shared" si="3"/>
        <v>800</v>
      </c>
      <c r="S16" s="12">
        <f t="shared" si="4"/>
        <v>0</v>
      </c>
      <c r="T16" s="13"/>
    </row>
    <row r="17" spans="2:20" ht="20" customHeight="1" x14ac:dyDescent="0.35">
      <c r="B17" s="4" t="s">
        <v>32</v>
      </c>
      <c r="C17" s="5" t="s">
        <v>46</v>
      </c>
      <c r="D17" s="4" t="s">
        <v>49</v>
      </c>
      <c r="E17" s="5" t="s">
        <v>50</v>
      </c>
      <c r="F17" s="6">
        <v>2000</v>
      </c>
      <c r="G17" s="7">
        <v>0</v>
      </c>
      <c r="H17" s="6">
        <f t="shared" si="0"/>
        <v>2000</v>
      </c>
      <c r="I17" s="8">
        <f t="shared" si="1"/>
        <v>0</v>
      </c>
      <c r="J17" s="9" t="s">
        <v>104</v>
      </c>
      <c r="K17" s="10">
        <v>3000</v>
      </c>
      <c r="L17" s="11">
        <v>2000</v>
      </c>
      <c r="M17" s="10">
        <v>1000</v>
      </c>
      <c r="N17" s="11">
        <v>1000</v>
      </c>
      <c r="O17" s="10">
        <v>0</v>
      </c>
      <c r="P17" s="11">
        <v>0</v>
      </c>
      <c r="Q17" s="6">
        <f t="shared" si="2"/>
        <v>4000</v>
      </c>
      <c r="R17" s="7">
        <f t="shared" si="3"/>
        <v>3000</v>
      </c>
      <c r="S17" s="12">
        <f t="shared" si="4"/>
        <v>-1000</v>
      </c>
      <c r="T17" s="13"/>
    </row>
    <row r="18" spans="2:20" ht="20" customHeight="1" x14ac:dyDescent="0.35">
      <c r="B18" s="4" t="s">
        <v>32</v>
      </c>
      <c r="C18" s="5" t="s">
        <v>46</v>
      </c>
      <c r="D18" s="4" t="s">
        <v>51</v>
      </c>
      <c r="E18" s="5" t="s">
        <v>52</v>
      </c>
      <c r="F18" s="6">
        <v>2200</v>
      </c>
      <c r="G18" s="7">
        <v>2200</v>
      </c>
      <c r="H18" s="6">
        <f t="shared" si="0"/>
        <v>0</v>
      </c>
      <c r="I18" s="8">
        <f t="shared" si="1"/>
        <v>1</v>
      </c>
      <c r="J18" s="9"/>
      <c r="K18" s="10">
        <v>6500</v>
      </c>
      <c r="L18" s="11">
        <v>6500</v>
      </c>
      <c r="M18" s="10">
        <v>6500</v>
      </c>
      <c r="N18" s="11">
        <v>6500</v>
      </c>
      <c r="O18" s="10">
        <v>0</v>
      </c>
      <c r="P18" s="11">
        <v>0</v>
      </c>
      <c r="Q18" s="6">
        <f t="shared" si="2"/>
        <v>13000</v>
      </c>
      <c r="R18" s="7">
        <f t="shared" si="3"/>
        <v>13000</v>
      </c>
      <c r="S18" s="12">
        <f t="shared" si="4"/>
        <v>0</v>
      </c>
      <c r="T18" s="13"/>
    </row>
    <row r="19" spans="2:20" ht="20" customHeight="1" x14ac:dyDescent="0.35">
      <c r="B19" s="4" t="s">
        <v>32</v>
      </c>
      <c r="C19" s="5" t="s">
        <v>46</v>
      </c>
      <c r="D19" s="4" t="s">
        <v>53</v>
      </c>
      <c r="E19" s="5" t="s">
        <v>54</v>
      </c>
      <c r="F19" s="6">
        <v>0</v>
      </c>
      <c r="G19" s="7">
        <v>0</v>
      </c>
      <c r="H19" s="6">
        <f t="shared" si="0"/>
        <v>0</v>
      </c>
      <c r="I19" s="8">
        <f t="shared" si="1"/>
        <v>0</v>
      </c>
      <c r="J19" s="9"/>
      <c r="K19" s="10">
        <v>2200</v>
      </c>
      <c r="L19" s="11">
        <v>2200</v>
      </c>
      <c r="M19" s="10">
        <v>2200</v>
      </c>
      <c r="N19" s="11">
        <v>2200</v>
      </c>
      <c r="O19" s="10">
        <v>0</v>
      </c>
      <c r="P19" s="11">
        <v>0</v>
      </c>
      <c r="Q19" s="6">
        <f t="shared" si="2"/>
        <v>4400</v>
      </c>
      <c r="R19" s="7">
        <f t="shared" si="3"/>
        <v>4400</v>
      </c>
      <c r="S19" s="12">
        <f t="shared" si="4"/>
        <v>0</v>
      </c>
      <c r="T19" s="13"/>
    </row>
    <row r="20" spans="2:20" ht="20" customHeight="1" x14ac:dyDescent="0.35">
      <c r="B20" s="4" t="s">
        <v>32</v>
      </c>
      <c r="C20" s="5" t="s">
        <v>46</v>
      </c>
      <c r="D20" s="4" t="s">
        <v>55</v>
      </c>
      <c r="E20" s="5" t="s">
        <v>56</v>
      </c>
      <c r="F20" s="6">
        <v>0</v>
      </c>
      <c r="G20" s="7">
        <v>200</v>
      </c>
      <c r="H20" s="6">
        <f t="shared" si="0"/>
        <v>200</v>
      </c>
      <c r="I20" s="8">
        <f t="shared" si="1"/>
        <v>1</v>
      </c>
      <c r="J20" s="9" t="s">
        <v>57</v>
      </c>
      <c r="K20" s="10">
        <v>100</v>
      </c>
      <c r="L20" s="11">
        <v>100</v>
      </c>
      <c r="M20" s="10">
        <v>100</v>
      </c>
      <c r="N20" s="11">
        <v>100</v>
      </c>
      <c r="O20" s="10">
        <v>0</v>
      </c>
      <c r="P20" s="11">
        <v>0</v>
      </c>
      <c r="Q20" s="6">
        <f t="shared" si="2"/>
        <v>200</v>
      </c>
      <c r="R20" s="7">
        <f t="shared" si="3"/>
        <v>200</v>
      </c>
      <c r="S20" s="12">
        <f t="shared" si="4"/>
        <v>0</v>
      </c>
      <c r="T20" s="13"/>
    </row>
    <row r="21" spans="2:20" ht="20" customHeight="1" x14ac:dyDescent="0.35">
      <c r="B21" s="4" t="s">
        <v>32</v>
      </c>
      <c r="C21" s="5" t="s">
        <v>46</v>
      </c>
      <c r="D21" s="4" t="s">
        <v>40</v>
      </c>
      <c r="E21" s="5" t="s">
        <v>41</v>
      </c>
      <c r="F21" s="6">
        <v>0</v>
      </c>
      <c r="G21" s="7">
        <v>0</v>
      </c>
      <c r="H21" s="6">
        <f t="shared" si="0"/>
        <v>0</v>
      </c>
      <c r="I21" s="8">
        <f t="shared" si="1"/>
        <v>0</v>
      </c>
      <c r="J21" s="9"/>
      <c r="K21" s="10">
        <v>200</v>
      </c>
      <c r="L21" s="11">
        <v>200</v>
      </c>
      <c r="M21" s="10">
        <v>200</v>
      </c>
      <c r="N21" s="11">
        <v>200</v>
      </c>
      <c r="O21" s="10">
        <v>0</v>
      </c>
      <c r="P21" s="11">
        <v>0</v>
      </c>
      <c r="Q21" s="6">
        <f t="shared" si="2"/>
        <v>400</v>
      </c>
      <c r="R21" s="7">
        <f t="shared" si="3"/>
        <v>400</v>
      </c>
      <c r="S21" s="12">
        <f t="shared" si="4"/>
        <v>0</v>
      </c>
      <c r="T21" s="13"/>
    </row>
    <row r="22" spans="2:20" ht="20" customHeight="1" x14ac:dyDescent="0.35">
      <c r="B22" s="4" t="s">
        <v>32</v>
      </c>
      <c r="C22" s="5" t="s">
        <v>46</v>
      </c>
      <c r="D22" s="4" t="s">
        <v>58</v>
      </c>
      <c r="E22" s="5" t="s">
        <v>59</v>
      </c>
      <c r="F22" s="6">
        <v>0</v>
      </c>
      <c r="G22" s="7">
        <v>0</v>
      </c>
      <c r="H22" s="6">
        <f t="shared" si="0"/>
        <v>0</v>
      </c>
      <c r="I22" s="8">
        <f t="shared" si="1"/>
        <v>0</v>
      </c>
      <c r="J22" s="9"/>
      <c r="K22" s="10">
        <v>0</v>
      </c>
      <c r="L22" s="11">
        <v>0</v>
      </c>
      <c r="M22" s="10">
        <v>100</v>
      </c>
      <c r="N22" s="11">
        <v>100</v>
      </c>
      <c r="O22" s="10">
        <v>0</v>
      </c>
      <c r="P22" s="11">
        <v>0</v>
      </c>
      <c r="Q22" s="6">
        <f t="shared" si="2"/>
        <v>100</v>
      </c>
      <c r="R22" s="7">
        <f t="shared" si="3"/>
        <v>100</v>
      </c>
      <c r="S22" s="12">
        <f t="shared" si="4"/>
        <v>0</v>
      </c>
      <c r="T22" s="13"/>
    </row>
    <row r="23" spans="2:20" ht="20" customHeight="1" x14ac:dyDescent="0.35">
      <c r="B23" s="4" t="s">
        <v>32</v>
      </c>
      <c r="C23" s="5" t="s">
        <v>46</v>
      </c>
      <c r="D23" s="4" t="s">
        <v>60</v>
      </c>
      <c r="E23" s="5" t="s">
        <v>61</v>
      </c>
      <c r="F23" s="6">
        <v>0</v>
      </c>
      <c r="G23" s="7">
        <v>200</v>
      </c>
      <c r="H23" s="6">
        <f t="shared" si="0"/>
        <v>200</v>
      </c>
      <c r="I23" s="8">
        <f t="shared" si="1"/>
        <v>1</v>
      </c>
      <c r="J23" s="9" t="s">
        <v>57</v>
      </c>
      <c r="K23" s="10">
        <v>0</v>
      </c>
      <c r="L23" s="11">
        <v>0</v>
      </c>
      <c r="M23" s="10">
        <v>0</v>
      </c>
      <c r="N23" s="11">
        <v>0</v>
      </c>
      <c r="O23" s="10">
        <v>0</v>
      </c>
      <c r="P23" s="11">
        <v>0</v>
      </c>
      <c r="Q23" s="6">
        <f t="shared" si="2"/>
        <v>0</v>
      </c>
      <c r="R23" s="7">
        <f t="shared" si="3"/>
        <v>0</v>
      </c>
      <c r="S23" s="12">
        <f t="shared" si="4"/>
        <v>0</v>
      </c>
      <c r="T23" s="13"/>
    </row>
    <row r="24" spans="2:20" ht="20" customHeight="1" x14ac:dyDescent="0.35">
      <c r="B24" s="4" t="s">
        <v>32</v>
      </c>
      <c r="C24" s="5" t="s">
        <v>46</v>
      </c>
      <c r="D24" s="4" t="s">
        <v>44</v>
      </c>
      <c r="E24" s="5" t="s">
        <v>45</v>
      </c>
      <c r="F24" s="6">
        <v>0</v>
      </c>
      <c r="G24" s="7">
        <v>0</v>
      </c>
      <c r="H24" s="6">
        <f t="shared" si="0"/>
        <v>0</v>
      </c>
      <c r="I24" s="8">
        <f t="shared" si="1"/>
        <v>0</v>
      </c>
      <c r="J24" s="9"/>
      <c r="K24" s="10">
        <v>640</v>
      </c>
      <c r="L24" s="11">
        <v>640</v>
      </c>
      <c r="M24" s="10">
        <v>640</v>
      </c>
      <c r="N24" s="11">
        <v>640</v>
      </c>
      <c r="O24" s="10">
        <v>0</v>
      </c>
      <c r="P24" s="11">
        <v>0</v>
      </c>
      <c r="Q24" s="6">
        <f t="shared" si="2"/>
        <v>1280</v>
      </c>
      <c r="R24" s="7">
        <f t="shared" si="3"/>
        <v>1280</v>
      </c>
      <c r="S24" s="12">
        <f t="shared" si="4"/>
        <v>0</v>
      </c>
      <c r="T24" s="13"/>
    </row>
    <row r="25" spans="2:20" ht="20" customHeight="1" x14ac:dyDescent="0.35">
      <c r="B25" s="4" t="s">
        <v>32</v>
      </c>
      <c r="C25" s="5" t="s">
        <v>46</v>
      </c>
      <c r="D25" s="4" t="s">
        <v>62</v>
      </c>
      <c r="E25" s="5" t="s">
        <v>63</v>
      </c>
      <c r="F25" s="6">
        <v>0</v>
      </c>
      <c r="G25" s="7">
        <v>600</v>
      </c>
      <c r="H25" s="6">
        <f t="shared" si="0"/>
        <v>600</v>
      </c>
      <c r="I25" s="8">
        <f t="shared" si="1"/>
        <v>1</v>
      </c>
      <c r="J25" s="9" t="s">
        <v>57</v>
      </c>
      <c r="K25" s="10">
        <v>0</v>
      </c>
      <c r="L25" s="11">
        <v>0</v>
      </c>
      <c r="M25" s="10">
        <v>0</v>
      </c>
      <c r="N25" s="11">
        <v>0</v>
      </c>
      <c r="O25" s="10">
        <v>0</v>
      </c>
      <c r="P25" s="11">
        <v>0</v>
      </c>
      <c r="Q25" s="6">
        <f t="shared" si="2"/>
        <v>0</v>
      </c>
      <c r="R25" s="7">
        <f t="shared" si="3"/>
        <v>0</v>
      </c>
      <c r="S25" s="12">
        <f t="shared" si="4"/>
        <v>0</v>
      </c>
      <c r="T25" s="13"/>
    </row>
    <row r="26" spans="2:20" ht="20" customHeight="1" x14ac:dyDescent="0.35">
      <c r="B26" s="4" t="s">
        <v>32</v>
      </c>
      <c r="C26" s="5" t="s">
        <v>46</v>
      </c>
      <c r="D26" s="4" t="s">
        <v>64</v>
      </c>
      <c r="E26" s="5" t="s">
        <v>65</v>
      </c>
      <c r="F26" s="6">
        <v>0</v>
      </c>
      <c r="G26" s="7">
        <v>1000</v>
      </c>
      <c r="H26" s="6">
        <f t="shared" si="0"/>
        <v>1000</v>
      </c>
      <c r="I26" s="8">
        <f t="shared" si="1"/>
        <v>1</v>
      </c>
      <c r="J26" s="9" t="s">
        <v>57</v>
      </c>
      <c r="K26" s="10">
        <v>0</v>
      </c>
      <c r="L26" s="11">
        <v>0</v>
      </c>
      <c r="M26" s="10">
        <v>0</v>
      </c>
      <c r="N26" s="11">
        <v>0</v>
      </c>
      <c r="O26" s="10">
        <v>0</v>
      </c>
      <c r="P26" s="11">
        <v>0</v>
      </c>
      <c r="Q26" s="6">
        <f t="shared" si="2"/>
        <v>0</v>
      </c>
      <c r="R26" s="7">
        <f t="shared" si="3"/>
        <v>0</v>
      </c>
      <c r="S26" s="12">
        <f t="shared" si="4"/>
        <v>0</v>
      </c>
      <c r="T26" s="13"/>
    </row>
    <row r="27" spans="2:20" ht="20" customHeight="1" x14ac:dyDescent="0.35">
      <c r="B27" s="4" t="s">
        <v>32</v>
      </c>
      <c r="C27" s="5" t="s">
        <v>46</v>
      </c>
      <c r="D27" s="4" t="s">
        <v>66</v>
      </c>
      <c r="E27" s="5" t="s">
        <v>67</v>
      </c>
      <c r="F27" s="6">
        <v>640</v>
      </c>
      <c r="G27" s="7">
        <v>640</v>
      </c>
      <c r="H27" s="6">
        <f t="shared" si="0"/>
        <v>0</v>
      </c>
      <c r="I27" s="8">
        <f t="shared" si="1"/>
        <v>1</v>
      </c>
      <c r="J27" s="9"/>
      <c r="K27" s="10">
        <v>1280</v>
      </c>
      <c r="L27" s="11">
        <v>1280</v>
      </c>
      <c r="M27" s="10">
        <v>1280</v>
      </c>
      <c r="N27" s="11">
        <v>1280</v>
      </c>
      <c r="O27" s="10">
        <v>0</v>
      </c>
      <c r="P27" s="11">
        <v>0</v>
      </c>
      <c r="Q27" s="6">
        <f t="shared" si="2"/>
        <v>2560</v>
      </c>
      <c r="R27" s="7">
        <f t="shared" si="3"/>
        <v>2560</v>
      </c>
      <c r="S27" s="12">
        <f t="shared" si="4"/>
        <v>0</v>
      </c>
      <c r="T27" s="13"/>
    </row>
    <row r="28" spans="2:20" ht="20" customHeight="1" x14ac:dyDescent="0.35">
      <c r="B28" s="4" t="s">
        <v>32</v>
      </c>
      <c r="C28" s="5" t="s">
        <v>46</v>
      </c>
      <c r="D28" s="4" t="s">
        <v>68</v>
      </c>
      <c r="E28" s="5" t="s">
        <v>69</v>
      </c>
      <c r="F28" s="6">
        <v>400</v>
      </c>
      <c r="G28" s="7">
        <v>0</v>
      </c>
      <c r="H28" s="6">
        <f t="shared" si="0"/>
        <v>400</v>
      </c>
      <c r="I28" s="8">
        <f t="shared" si="1"/>
        <v>0</v>
      </c>
      <c r="J28" s="9" t="s">
        <v>104</v>
      </c>
      <c r="K28" s="10">
        <v>1600</v>
      </c>
      <c r="L28" s="11">
        <v>1600</v>
      </c>
      <c r="M28" s="10">
        <v>1600</v>
      </c>
      <c r="N28" s="11">
        <v>1600</v>
      </c>
      <c r="O28" s="10">
        <v>0</v>
      </c>
      <c r="P28" s="11">
        <v>0</v>
      </c>
      <c r="Q28" s="6">
        <f t="shared" si="2"/>
        <v>3200</v>
      </c>
      <c r="R28" s="7">
        <f t="shared" si="3"/>
        <v>3200</v>
      </c>
      <c r="S28" s="12">
        <f t="shared" si="4"/>
        <v>0</v>
      </c>
      <c r="T28" s="13"/>
    </row>
    <row r="29" spans="2:20" ht="20" customHeight="1" x14ac:dyDescent="0.35">
      <c r="B29" s="4" t="s">
        <v>32</v>
      </c>
      <c r="C29" s="5" t="s">
        <v>46</v>
      </c>
      <c r="D29" s="4" t="s">
        <v>70</v>
      </c>
      <c r="E29" s="5" t="s">
        <v>71</v>
      </c>
      <c r="F29" s="6">
        <v>5000</v>
      </c>
      <c r="G29" s="7">
        <v>0</v>
      </c>
      <c r="H29" s="6">
        <f t="shared" si="0"/>
        <v>5000</v>
      </c>
      <c r="I29" s="8">
        <f t="shared" si="1"/>
        <v>0</v>
      </c>
      <c r="J29" s="9" t="s">
        <v>104</v>
      </c>
      <c r="K29" s="10">
        <v>5000</v>
      </c>
      <c r="L29" s="11">
        <v>3000</v>
      </c>
      <c r="M29" s="10">
        <v>4000</v>
      </c>
      <c r="N29" s="11">
        <v>4000</v>
      </c>
      <c r="O29" s="10">
        <v>0</v>
      </c>
      <c r="P29" s="11">
        <v>0</v>
      </c>
      <c r="Q29" s="6">
        <f t="shared" si="2"/>
        <v>9000</v>
      </c>
      <c r="R29" s="7">
        <f t="shared" si="3"/>
        <v>7000</v>
      </c>
      <c r="S29" s="12">
        <f t="shared" si="4"/>
        <v>-2000</v>
      </c>
      <c r="T29" s="13"/>
    </row>
    <row r="30" spans="2:20" ht="20" customHeight="1" x14ac:dyDescent="0.35">
      <c r="B30" s="4" t="s">
        <v>32</v>
      </c>
      <c r="C30" s="5" t="s">
        <v>46</v>
      </c>
      <c r="D30" s="4" t="s">
        <v>72</v>
      </c>
      <c r="E30" s="5" t="s">
        <v>73</v>
      </c>
      <c r="F30" s="6">
        <v>640</v>
      </c>
      <c r="G30" s="7">
        <v>0</v>
      </c>
      <c r="H30" s="6">
        <f t="shared" si="0"/>
        <v>640</v>
      </c>
      <c r="I30" s="8">
        <f t="shared" si="1"/>
        <v>0</v>
      </c>
      <c r="J30" s="9" t="s">
        <v>104</v>
      </c>
      <c r="K30" s="10">
        <v>1280</v>
      </c>
      <c r="L30" s="11">
        <v>1280</v>
      </c>
      <c r="M30" s="10">
        <v>0</v>
      </c>
      <c r="N30" s="11">
        <v>0</v>
      </c>
      <c r="O30" s="10">
        <v>0</v>
      </c>
      <c r="P30" s="11">
        <v>0</v>
      </c>
      <c r="Q30" s="6">
        <f t="shared" si="2"/>
        <v>1280</v>
      </c>
      <c r="R30" s="7">
        <f t="shared" si="3"/>
        <v>1280</v>
      </c>
      <c r="S30" s="12">
        <f t="shared" si="4"/>
        <v>0</v>
      </c>
      <c r="T30" s="13"/>
    </row>
    <row r="31" spans="2:20" ht="20" customHeight="1" x14ac:dyDescent="0.35">
      <c r="B31" s="4" t="s">
        <v>32</v>
      </c>
      <c r="C31" s="5" t="s">
        <v>46</v>
      </c>
      <c r="D31" s="4" t="s">
        <v>74</v>
      </c>
      <c r="E31" s="5" t="s">
        <v>75</v>
      </c>
      <c r="F31" s="6">
        <v>0</v>
      </c>
      <c r="G31" s="7">
        <v>400</v>
      </c>
      <c r="H31" s="6">
        <f t="shared" si="0"/>
        <v>400</v>
      </c>
      <c r="I31" s="8">
        <f t="shared" si="1"/>
        <v>1</v>
      </c>
      <c r="J31" s="9" t="s">
        <v>105</v>
      </c>
      <c r="K31" s="10">
        <v>2800</v>
      </c>
      <c r="L31" s="11">
        <v>2400</v>
      </c>
      <c r="M31" s="10">
        <v>2400</v>
      </c>
      <c r="N31" s="11">
        <v>2400</v>
      </c>
      <c r="O31" s="10">
        <v>0</v>
      </c>
      <c r="P31" s="11">
        <v>0</v>
      </c>
      <c r="Q31" s="6">
        <f t="shared" si="2"/>
        <v>5200</v>
      </c>
      <c r="R31" s="7">
        <f t="shared" si="3"/>
        <v>4800</v>
      </c>
      <c r="S31" s="12">
        <f t="shared" si="4"/>
        <v>-400</v>
      </c>
      <c r="T31" s="13"/>
    </row>
    <row r="32" spans="2:20" ht="20" customHeight="1" x14ac:dyDescent="0.35">
      <c r="B32" s="4" t="s">
        <v>32</v>
      </c>
      <c r="C32" s="5" t="s">
        <v>76</v>
      </c>
      <c r="D32" s="4" t="s">
        <v>77</v>
      </c>
      <c r="E32" s="5" t="s">
        <v>78</v>
      </c>
      <c r="F32" s="6">
        <v>0</v>
      </c>
      <c r="G32" s="7">
        <v>0</v>
      </c>
      <c r="H32" s="6">
        <f t="shared" si="0"/>
        <v>0</v>
      </c>
      <c r="I32" s="8">
        <f t="shared" si="1"/>
        <v>0</v>
      </c>
      <c r="J32" s="9"/>
      <c r="K32" s="10">
        <v>0</v>
      </c>
      <c r="L32" s="11">
        <v>0</v>
      </c>
      <c r="M32" s="10">
        <v>500</v>
      </c>
      <c r="N32" s="11">
        <v>500</v>
      </c>
      <c r="O32" s="10">
        <v>0</v>
      </c>
      <c r="P32" s="11">
        <v>0</v>
      </c>
      <c r="Q32" s="6">
        <f t="shared" si="2"/>
        <v>500</v>
      </c>
      <c r="R32" s="7">
        <f t="shared" si="3"/>
        <v>500</v>
      </c>
      <c r="S32" s="12">
        <f t="shared" si="4"/>
        <v>0</v>
      </c>
      <c r="T32" s="13"/>
    </row>
    <row r="33" spans="2:20" ht="20" customHeight="1" x14ac:dyDescent="0.35">
      <c r="B33" s="4" t="s">
        <v>32</v>
      </c>
      <c r="C33" s="5" t="s">
        <v>76</v>
      </c>
      <c r="D33" s="4" t="s">
        <v>79</v>
      </c>
      <c r="E33" s="5" t="s">
        <v>80</v>
      </c>
      <c r="F33" s="6">
        <v>0</v>
      </c>
      <c r="G33" s="7">
        <v>0</v>
      </c>
      <c r="H33" s="6">
        <f t="shared" si="0"/>
        <v>0</v>
      </c>
      <c r="I33" s="8">
        <f t="shared" si="1"/>
        <v>0</v>
      </c>
      <c r="J33" s="9"/>
      <c r="K33" s="10">
        <v>0</v>
      </c>
      <c r="L33" s="11">
        <v>0</v>
      </c>
      <c r="M33" s="10">
        <v>1280</v>
      </c>
      <c r="N33" s="11">
        <v>1280</v>
      </c>
      <c r="O33" s="10">
        <v>0</v>
      </c>
      <c r="P33" s="11">
        <v>0</v>
      </c>
      <c r="Q33" s="6">
        <f t="shared" si="2"/>
        <v>1280</v>
      </c>
      <c r="R33" s="7">
        <f t="shared" si="3"/>
        <v>1280</v>
      </c>
      <c r="S33" s="12">
        <f t="shared" si="4"/>
        <v>0</v>
      </c>
      <c r="T33" s="13"/>
    </row>
    <row r="34" spans="2:20" ht="20" customHeight="1" x14ac:dyDescent="0.35">
      <c r="B34" s="4" t="s">
        <v>32</v>
      </c>
      <c r="C34" s="5" t="s">
        <v>76</v>
      </c>
      <c r="D34" s="4" t="s">
        <v>81</v>
      </c>
      <c r="E34" s="5" t="s">
        <v>82</v>
      </c>
      <c r="F34" s="6">
        <v>0</v>
      </c>
      <c r="G34" s="7">
        <v>0</v>
      </c>
      <c r="H34" s="6">
        <f t="shared" si="0"/>
        <v>0</v>
      </c>
      <c r="I34" s="8">
        <f t="shared" si="1"/>
        <v>0</v>
      </c>
      <c r="J34" s="9"/>
      <c r="K34" s="10">
        <v>0</v>
      </c>
      <c r="L34" s="11">
        <v>0</v>
      </c>
      <c r="M34" s="10">
        <v>5000</v>
      </c>
      <c r="N34" s="11">
        <v>5000</v>
      </c>
      <c r="O34" s="10">
        <v>0</v>
      </c>
      <c r="P34" s="11">
        <v>0</v>
      </c>
      <c r="Q34" s="6">
        <f t="shared" si="2"/>
        <v>5000</v>
      </c>
      <c r="R34" s="7">
        <f t="shared" si="3"/>
        <v>5000</v>
      </c>
      <c r="S34" s="12">
        <f t="shared" si="4"/>
        <v>0</v>
      </c>
      <c r="T34" s="13"/>
    </row>
    <row r="35" spans="2:20" ht="20" customHeight="1" x14ac:dyDescent="0.35">
      <c r="B35" s="4" t="s">
        <v>32</v>
      </c>
      <c r="C35" s="5" t="s">
        <v>76</v>
      </c>
      <c r="D35" s="4" t="s">
        <v>83</v>
      </c>
      <c r="E35" s="5" t="s">
        <v>84</v>
      </c>
      <c r="F35" s="6">
        <v>0</v>
      </c>
      <c r="G35" s="7">
        <v>200</v>
      </c>
      <c r="H35" s="6">
        <f t="shared" si="0"/>
        <v>200</v>
      </c>
      <c r="I35" s="8">
        <f t="shared" si="1"/>
        <v>1</v>
      </c>
      <c r="J35" s="9" t="s">
        <v>57</v>
      </c>
      <c r="K35" s="10">
        <v>0</v>
      </c>
      <c r="L35" s="11">
        <v>0</v>
      </c>
      <c r="M35" s="10">
        <v>0</v>
      </c>
      <c r="N35" s="11">
        <v>0</v>
      </c>
      <c r="O35" s="10">
        <v>0</v>
      </c>
      <c r="P35" s="11">
        <v>0</v>
      </c>
      <c r="Q35" s="6">
        <f t="shared" si="2"/>
        <v>0</v>
      </c>
      <c r="R35" s="7">
        <f t="shared" si="3"/>
        <v>0</v>
      </c>
      <c r="S35" s="12">
        <f t="shared" si="4"/>
        <v>0</v>
      </c>
      <c r="T35" s="13"/>
    </row>
    <row r="36" spans="2:20" ht="20" customHeight="1" x14ac:dyDescent="0.35">
      <c r="B36" s="4" t="s">
        <v>32</v>
      </c>
      <c r="C36" s="5" t="s">
        <v>76</v>
      </c>
      <c r="D36" s="4" t="s">
        <v>51</v>
      </c>
      <c r="E36" s="5" t="s">
        <v>52</v>
      </c>
      <c r="F36" s="6">
        <v>0</v>
      </c>
      <c r="G36" s="7">
        <v>0</v>
      </c>
      <c r="H36" s="6">
        <f t="shared" si="0"/>
        <v>0</v>
      </c>
      <c r="I36" s="8">
        <f t="shared" si="1"/>
        <v>0</v>
      </c>
      <c r="J36" s="9"/>
      <c r="K36" s="10">
        <v>0</v>
      </c>
      <c r="L36" s="11">
        <v>0</v>
      </c>
      <c r="M36" s="10">
        <v>3300</v>
      </c>
      <c r="N36" s="11">
        <v>3300</v>
      </c>
      <c r="O36" s="10">
        <v>0</v>
      </c>
      <c r="P36" s="11">
        <v>0</v>
      </c>
      <c r="Q36" s="6">
        <f t="shared" si="2"/>
        <v>3300</v>
      </c>
      <c r="R36" s="7">
        <f t="shared" si="3"/>
        <v>3300</v>
      </c>
      <c r="S36" s="12">
        <f t="shared" si="4"/>
        <v>0</v>
      </c>
      <c r="T36" s="13"/>
    </row>
    <row r="37" spans="2:20" ht="20" customHeight="1" x14ac:dyDescent="0.35">
      <c r="B37" s="4" t="s">
        <v>32</v>
      </c>
      <c r="C37" s="5" t="s">
        <v>76</v>
      </c>
      <c r="D37" s="4" t="s">
        <v>38</v>
      </c>
      <c r="E37" s="5" t="s">
        <v>39</v>
      </c>
      <c r="F37" s="6">
        <v>0</v>
      </c>
      <c r="G37" s="7">
        <v>0</v>
      </c>
      <c r="H37" s="6">
        <f t="shared" si="0"/>
        <v>0</v>
      </c>
      <c r="I37" s="8">
        <f t="shared" si="1"/>
        <v>0</v>
      </c>
      <c r="J37" s="9"/>
      <c r="K37" s="10">
        <v>0</v>
      </c>
      <c r="L37" s="11">
        <v>0</v>
      </c>
      <c r="M37" s="10">
        <v>1280</v>
      </c>
      <c r="N37" s="11">
        <v>1280</v>
      </c>
      <c r="O37" s="10">
        <v>0</v>
      </c>
      <c r="P37" s="11">
        <v>0</v>
      </c>
      <c r="Q37" s="6">
        <f t="shared" si="2"/>
        <v>1280</v>
      </c>
      <c r="R37" s="7">
        <f t="shared" si="3"/>
        <v>1280</v>
      </c>
      <c r="S37" s="12">
        <f t="shared" si="4"/>
        <v>0</v>
      </c>
      <c r="T37" s="13"/>
    </row>
    <row r="38" spans="2:20" ht="20" customHeight="1" x14ac:dyDescent="0.35">
      <c r="B38" s="4" t="s">
        <v>32</v>
      </c>
      <c r="C38" s="5" t="s">
        <v>76</v>
      </c>
      <c r="D38" s="4" t="s">
        <v>85</v>
      </c>
      <c r="E38" s="5" t="s">
        <v>86</v>
      </c>
      <c r="F38" s="6">
        <v>0</v>
      </c>
      <c r="G38" s="7">
        <v>0</v>
      </c>
      <c r="H38" s="6">
        <f t="shared" si="0"/>
        <v>0</v>
      </c>
      <c r="I38" s="8">
        <f t="shared" si="1"/>
        <v>0</v>
      </c>
      <c r="J38" s="9"/>
      <c r="K38" s="10">
        <v>0</v>
      </c>
      <c r="L38" s="11">
        <v>0</v>
      </c>
      <c r="M38" s="10">
        <v>1280</v>
      </c>
      <c r="N38" s="11">
        <v>1280</v>
      </c>
      <c r="O38" s="10">
        <v>0</v>
      </c>
      <c r="P38" s="11">
        <v>0</v>
      </c>
      <c r="Q38" s="6">
        <f t="shared" si="2"/>
        <v>1280</v>
      </c>
      <c r="R38" s="7">
        <f t="shared" si="3"/>
        <v>1280</v>
      </c>
      <c r="S38" s="12">
        <f t="shared" si="4"/>
        <v>0</v>
      </c>
      <c r="T38" s="13"/>
    </row>
    <row r="39" spans="2:20" ht="20" customHeight="1" x14ac:dyDescent="0.35">
      <c r="B39" s="4" t="s">
        <v>32</v>
      </c>
      <c r="C39" s="5" t="s">
        <v>76</v>
      </c>
      <c r="D39" s="4" t="s">
        <v>87</v>
      </c>
      <c r="E39" s="5" t="s">
        <v>88</v>
      </c>
      <c r="F39" s="6">
        <v>0</v>
      </c>
      <c r="G39" s="7">
        <v>0</v>
      </c>
      <c r="H39" s="6">
        <f t="shared" si="0"/>
        <v>0</v>
      </c>
      <c r="I39" s="8">
        <f t="shared" si="1"/>
        <v>0</v>
      </c>
      <c r="J39" s="9"/>
      <c r="K39" s="10">
        <v>0</v>
      </c>
      <c r="L39" s="11">
        <v>0</v>
      </c>
      <c r="M39" s="10">
        <v>4000</v>
      </c>
      <c r="N39" s="11">
        <v>4000</v>
      </c>
      <c r="O39" s="10">
        <v>0</v>
      </c>
      <c r="P39" s="11">
        <v>0</v>
      </c>
      <c r="Q39" s="6">
        <f t="shared" si="2"/>
        <v>4000</v>
      </c>
      <c r="R39" s="7">
        <f t="shared" si="3"/>
        <v>4000</v>
      </c>
      <c r="S39" s="12">
        <f t="shared" si="4"/>
        <v>0</v>
      </c>
      <c r="T39" s="13"/>
    </row>
    <row r="40" spans="2:20" ht="20" customHeight="1" x14ac:dyDescent="0.35">
      <c r="B40" s="4" t="s">
        <v>32</v>
      </c>
      <c r="C40" s="5" t="s">
        <v>76</v>
      </c>
      <c r="D40" s="4" t="s">
        <v>89</v>
      </c>
      <c r="E40" s="5" t="s">
        <v>90</v>
      </c>
      <c r="F40" s="6">
        <v>0</v>
      </c>
      <c r="G40" s="7">
        <v>320</v>
      </c>
      <c r="H40" s="6">
        <f t="shared" si="0"/>
        <v>320</v>
      </c>
      <c r="I40" s="8">
        <f t="shared" si="1"/>
        <v>1</v>
      </c>
      <c r="J40" s="9" t="s">
        <v>57</v>
      </c>
      <c r="K40" s="10">
        <v>0</v>
      </c>
      <c r="L40" s="11">
        <v>0</v>
      </c>
      <c r="M40" s="10">
        <v>0</v>
      </c>
      <c r="N40" s="11">
        <v>0</v>
      </c>
      <c r="O40" s="10">
        <v>0</v>
      </c>
      <c r="P40" s="11">
        <v>0</v>
      </c>
      <c r="Q40" s="6">
        <f t="shared" si="2"/>
        <v>0</v>
      </c>
      <c r="R40" s="7">
        <f t="shared" si="3"/>
        <v>0</v>
      </c>
      <c r="S40" s="12">
        <f t="shared" si="4"/>
        <v>0</v>
      </c>
      <c r="T40" s="13"/>
    </row>
    <row r="41" spans="2:20" ht="20" customHeight="1" x14ac:dyDescent="0.35">
      <c r="B41" s="4" t="s">
        <v>32</v>
      </c>
      <c r="C41" s="5" t="s">
        <v>76</v>
      </c>
      <c r="D41" s="4" t="s">
        <v>91</v>
      </c>
      <c r="E41" s="5" t="s">
        <v>92</v>
      </c>
      <c r="F41" s="6">
        <v>0</v>
      </c>
      <c r="G41" s="7">
        <v>60</v>
      </c>
      <c r="H41" s="6">
        <f t="shared" si="0"/>
        <v>60</v>
      </c>
      <c r="I41" s="8">
        <f t="shared" si="1"/>
        <v>1</v>
      </c>
      <c r="J41" s="9" t="s">
        <v>57</v>
      </c>
      <c r="K41" s="10">
        <v>0</v>
      </c>
      <c r="L41" s="11">
        <v>0</v>
      </c>
      <c r="M41" s="10">
        <v>0</v>
      </c>
      <c r="N41" s="11">
        <v>0</v>
      </c>
      <c r="O41" s="10">
        <v>0</v>
      </c>
      <c r="P41" s="11">
        <v>0</v>
      </c>
      <c r="Q41" s="6">
        <f t="shared" si="2"/>
        <v>0</v>
      </c>
      <c r="R41" s="7">
        <f t="shared" si="3"/>
        <v>0</v>
      </c>
      <c r="S41" s="12">
        <f t="shared" si="4"/>
        <v>0</v>
      </c>
      <c r="T41" s="13"/>
    </row>
    <row r="42" spans="2:20" ht="20" customHeight="1" x14ac:dyDescent="0.35">
      <c r="B42" s="4" t="s">
        <v>32</v>
      </c>
      <c r="C42" s="5" t="s">
        <v>76</v>
      </c>
      <c r="D42" s="4" t="s">
        <v>93</v>
      </c>
      <c r="E42" s="5" t="s">
        <v>94</v>
      </c>
      <c r="F42" s="6">
        <v>0</v>
      </c>
      <c r="G42" s="7">
        <v>320</v>
      </c>
      <c r="H42" s="6">
        <f t="shared" si="0"/>
        <v>320</v>
      </c>
      <c r="I42" s="8">
        <f t="shared" si="1"/>
        <v>1</v>
      </c>
      <c r="J42" s="9" t="s">
        <v>57</v>
      </c>
      <c r="K42" s="10">
        <v>0</v>
      </c>
      <c r="L42" s="11">
        <v>0</v>
      </c>
      <c r="M42" s="10">
        <v>0</v>
      </c>
      <c r="N42" s="11">
        <v>0</v>
      </c>
      <c r="O42" s="10">
        <v>0</v>
      </c>
      <c r="P42" s="11">
        <v>0</v>
      </c>
      <c r="Q42" s="6">
        <f t="shared" si="2"/>
        <v>0</v>
      </c>
      <c r="R42" s="7">
        <f t="shared" si="3"/>
        <v>0</v>
      </c>
      <c r="S42" s="12">
        <f t="shared" si="4"/>
        <v>0</v>
      </c>
      <c r="T42" s="13"/>
    </row>
    <row r="43" spans="2:20" ht="20" customHeight="1" x14ac:dyDescent="0.35">
      <c r="B43" s="4" t="s">
        <v>32</v>
      </c>
      <c r="C43" s="5" t="s">
        <v>76</v>
      </c>
      <c r="D43" s="4" t="s">
        <v>58</v>
      </c>
      <c r="E43" s="5" t="s">
        <v>59</v>
      </c>
      <c r="F43" s="6">
        <v>0</v>
      </c>
      <c r="G43" s="7">
        <v>0</v>
      </c>
      <c r="H43" s="6">
        <f t="shared" si="0"/>
        <v>0</v>
      </c>
      <c r="I43" s="8">
        <f t="shared" si="1"/>
        <v>0</v>
      </c>
      <c r="J43" s="9"/>
      <c r="K43" s="10">
        <v>0</v>
      </c>
      <c r="L43" s="11">
        <v>0</v>
      </c>
      <c r="M43" s="10">
        <v>1280</v>
      </c>
      <c r="N43" s="11">
        <v>1280</v>
      </c>
      <c r="O43" s="10">
        <v>0</v>
      </c>
      <c r="P43" s="11">
        <v>0</v>
      </c>
      <c r="Q43" s="6">
        <f t="shared" si="2"/>
        <v>1280</v>
      </c>
      <c r="R43" s="7">
        <f t="shared" si="3"/>
        <v>1280</v>
      </c>
      <c r="S43" s="12">
        <f t="shared" si="4"/>
        <v>0</v>
      </c>
      <c r="T43" s="13"/>
    </row>
    <row r="44" spans="2:20" ht="20" customHeight="1" x14ac:dyDescent="0.35">
      <c r="B44" s="4" t="s">
        <v>32</v>
      </c>
      <c r="C44" s="5" t="s">
        <v>76</v>
      </c>
      <c r="D44" s="4" t="s">
        <v>95</v>
      </c>
      <c r="E44" s="5" t="s">
        <v>96</v>
      </c>
      <c r="F44" s="6">
        <v>0</v>
      </c>
      <c r="G44" s="7">
        <v>0</v>
      </c>
      <c r="H44" s="6">
        <f t="shared" si="0"/>
        <v>0</v>
      </c>
      <c r="I44" s="8">
        <f t="shared" si="1"/>
        <v>0</v>
      </c>
      <c r="J44" s="9"/>
      <c r="K44" s="10">
        <v>1280</v>
      </c>
      <c r="L44" s="11">
        <v>1280</v>
      </c>
      <c r="M44" s="10">
        <v>1280</v>
      </c>
      <c r="N44" s="11">
        <v>1280</v>
      </c>
      <c r="O44" s="10">
        <v>0</v>
      </c>
      <c r="P44" s="11">
        <v>0</v>
      </c>
      <c r="Q44" s="6">
        <f t="shared" si="2"/>
        <v>2560</v>
      </c>
      <c r="R44" s="7">
        <f t="shared" si="3"/>
        <v>2560</v>
      </c>
      <c r="S44" s="12">
        <f t="shared" si="4"/>
        <v>0</v>
      </c>
      <c r="T44" s="13"/>
    </row>
    <row r="45" spans="2:20" ht="20" customHeight="1" x14ac:dyDescent="0.35">
      <c r="B45" s="4" t="s">
        <v>32</v>
      </c>
      <c r="C45" s="5" t="s">
        <v>76</v>
      </c>
      <c r="D45" s="4" t="s">
        <v>97</v>
      </c>
      <c r="E45" s="5" t="s">
        <v>98</v>
      </c>
      <c r="F45" s="6">
        <v>0</v>
      </c>
      <c r="G45" s="7">
        <v>0</v>
      </c>
      <c r="H45" s="6">
        <f t="shared" si="0"/>
        <v>0</v>
      </c>
      <c r="I45" s="8">
        <f t="shared" si="1"/>
        <v>0</v>
      </c>
      <c r="J45" s="9"/>
      <c r="K45" s="10">
        <v>1280</v>
      </c>
      <c r="L45" s="11">
        <v>1280</v>
      </c>
      <c r="M45" s="10">
        <v>1280</v>
      </c>
      <c r="N45" s="11">
        <v>1280</v>
      </c>
      <c r="O45" s="10">
        <v>0</v>
      </c>
      <c r="P45" s="11">
        <v>0</v>
      </c>
      <c r="Q45" s="6">
        <f t="shared" si="2"/>
        <v>2560</v>
      </c>
      <c r="R45" s="7">
        <f t="shared" si="3"/>
        <v>2560</v>
      </c>
      <c r="S45" s="12">
        <f t="shared" si="4"/>
        <v>0</v>
      </c>
      <c r="T45" s="13"/>
    </row>
    <row r="46" spans="2:20" ht="20" customHeight="1" x14ac:dyDescent="0.35">
      <c r="B46" s="4" t="s">
        <v>32</v>
      </c>
      <c r="C46" s="5" t="s">
        <v>76</v>
      </c>
      <c r="D46" s="4" t="s">
        <v>99</v>
      </c>
      <c r="E46" s="5" t="s">
        <v>100</v>
      </c>
      <c r="F46" s="6">
        <v>0</v>
      </c>
      <c r="G46" s="7">
        <v>0</v>
      </c>
      <c r="H46" s="6">
        <f t="shared" si="0"/>
        <v>0</v>
      </c>
      <c r="I46" s="8">
        <f t="shared" si="1"/>
        <v>0</v>
      </c>
      <c r="J46" s="9"/>
      <c r="K46" s="10">
        <v>1280</v>
      </c>
      <c r="L46" s="11">
        <v>1280</v>
      </c>
      <c r="M46" s="10">
        <v>1280</v>
      </c>
      <c r="N46" s="11">
        <v>1280</v>
      </c>
      <c r="O46" s="10">
        <v>0</v>
      </c>
      <c r="P46" s="11">
        <v>0</v>
      </c>
      <c r="Q46" s="6">
        <f t="shared" si="2"/>
        <v>2560</v>
      </c>
      <c r="R46" s="7">
        <f t="shared" si="3"/>
        <v>2560</v>
      </c>
      <c r="S46" s="12">
        <f t="shared" si="4"/>
        <v>0</v>
      </c>
      <c r="T46" s="13"/>
    </row>
    <row r="47" spans="2:20" ht="20" customHeight="1" x14ac:dyDescent="0.35">
      <c r="B47" s="4" t="s">
        <v>32</v>
      </c>
      <c r="C47" s="5" t="s">
        <v>76</v>
      </c>
      <c r="D47" s="4" t="s">
        <v>44</v>
      </c>
      <c r="E47" s="5" t="s">
        <v>45</v>
      </c>
      <c r="F47" s="6">
        <v>0</v>
      </c>
      <c r="G47" s="7">
        <v>0</v>
      </c>
      <c r="H47" s="6">
        <f t="shared" si="0"/>
        <v>0</v>
      </c>
      <c r="I47" s="8">
        <f t="shared" si="1"/>
        <v>0</v>
      </c>
      <c r="J47" s="9"/>
      <c r="K47" s="10">
        <v>1280</v>
      </c>
      <c r="L47" s="11">
        <v>1280</v>
      </c>
      <c r="M47" s="10">
        <v>1280</v>
      </c>
      <c r="N47" s="11">
        <v>1280</v>
      </c>
      <c r="O47" s="10">
        <v>0</v>
      </c>
      <c r="P47" s="11">
        <v>0</v>
      </c>
      <c r="Q47" s="6">
        <f t="shared" si="2"/>
        <v>2560</v>
      </c>
      <c r="R47" s="7">
        <f t="shared" si="3"/>
        <v>2560</v>
      </c>
      <c r="S47" s="12">
        <f t="shared" si="4"/>
        <v>0</v>
      </c>
      <c r="T47" s="13"/>
    </row>
    <row r="48" spans="2:20" ht="20" customHeight="1" x14ac:dyDescent="0.35">
      <c r="B48" s="4" t="s">
        <v>32</v>
      </c>
      <c r="C48" s="5" t="s">
        <v>76</v>
      </c>
      <c r="D48" s="4" t="s">
        <v>70</v>
      </c>
      <c r="E48" s="5" t="s">
        <v>71</v>
      </c>
      <c r="F48" s="6">
        <v>0</v>
      </c>
      <c r="G48" s="7">
        <v>0</v>
      </c>
      <c r="H48" s="6">
        <f t="shared" si="0"/>
        <v>0</v>
      </c>
      <c r="I48" s="8">
        <f t="shared" si="1"/>
        <v>0</v>
      </c>
      <c r="J48" s="9"/>
      <c r="K48" s="10">
        <v>9000</v>
      </c>
      <c r="L48" s="11">
        <v>9000</v>
      </c>
      <c r="M48" s="10">
        <v>9000</v>
      </c>
      <c r="N48" s="11">
        <v>9000</v>
      </c>
      <c r="O48" s="10">
        <v>0</v>
      </c>
      <c r="P48" s="11">
        <v>0</v>
      </c>
      <c r="Q48" s="6">
        <f t="shared" si="2"/>
        <v>18000</v>
      </c>
      <c r="R48" s="7">
        <f t="shared" si="3"/>
        <v>18000</v>
      </c>
      <c r="S48" s="12">
        <f t="shared" si="4"/>
        <v>0</v>
      </c>
      <c r="T48" s="13"/>
    </row>
    <row r="49" spans="2:20" ht="20" customHeight="1" x14ac:dyDescent="0.35">
      <c r="B49" s="4" t="s">
        <v>32</v>
      </c>
      <c r="C49" s="5" t="s">
        <v>76</v>
      </c>
      <c r="D49" s="4" t="s">
        <v>72</v>
      </c>
      <c r="E49" s="5" t="s">
        <v>73</v>
      </c>
      <c r="F49" s="6">
        <v>0</v>
      </c>
      <c r="G49" s="7">
        <v>200</v>
      </c>
      <c r="H49" s="6">
        <f t="shared" si="0"/>
        <v>200</v>
      </c>
      <c r="I49" s="8">
        <f t="shared" si="1"/>
        <v>1</v>
      </c>
      <c r="J49" s="9" t="s">
        <v>57</v>
      </c>
      <c r="K49" s="10">
        <v>0</v>
      </c>
      <c r="L49" s="11">
        <v>0</v>
      </c>
      <c r="M49" s="10">
        <v>0</v>
      </c>
      <c r="N49" s="11">
        <v>0</v>
      </c>
      <c r="O49" s="10">
        <v>0</v>
      </c>
      <c r="P49" s="11">
        <v>0</v>
      </c>
      <c r="Q49" s="6">
        <f t="shared" si="2"/>
        <v>0</v>
      </c>
      <c r="R49" s="7">
        <f t="shared" si="3"/>
        <v>0</v>
      </c>
      <c r="S49" s="12">
        <f t="shared" si="4"/>
        <v>0</v>
      </c>
      <c r="T49" s="13"/>
    </row>
    <row r="50" spans="2:20" ht="20" customHeight="1" x14ac:dyDescent="0.35">
      <c r="B50" s="4" t="s">
        <v>32</v>
      </c>
      <c r="C50" s="5" t="s">
        <v>76</v>
      </c>
      <c r="D50" s="4" t="s">
        <v>101</v>
      </c>
      <c r="E50" s="5" t="s">
        <v>102</v>
      </c>
      <c r="F50" s="6">
        <v>0</v>
      </c>
      <c r="G50" s="7">
        <v>300</v>
      </c>
      <c r="H50" s="6">
        <f t="shared" si="0"/>
        <v>300</v>
      </c>
      <c r="I50" s="8">
        <f t="shared" si="1"/>
        <v>1</v>
      </c>
      <c r="J50" s="9" t="s">
        <v>57</v>
      </c>
      <c r="K50" s="10">
        <v>0</v>
      </c>
      <c r="L50" s="11">
        <v>0</v>
      </c>
      <c r="M50" s="10">
        <v>0</v>
      </c>
      <c r="N50" s="11">
        <v>0</v>
      </c>
      <c r="O50" s="10">
        <v>0</v>
      </c>
      <c r="P50" s="11">
        <v>0</v>
      </c>
      <c r="Q50" s="6">
        <f t="shared" si="2"/>
        <v>0</v>
      </c>
      <c r="R50" s="7">
        <f t="shared" si="3"/>
        <v>0</v>
      </c>
      <c r="S50" s="12">
        <f t="shared" si="4"/>
        <v>0</v>
      </c>
      <c r="T50" s="13"/>
    </row>
    <row r="51" spans="2:20" ht="20" customHeight="1" x14ac:dyDescent="0.35">
      <c r="B51" s="4" t="s">
        <v>32</v>
      </c>
      <c r="C51" s="5" t="s">
        <v>76</v>
      </c>
      <c r="D51" s="4" t="s">
        <v>74</v>
      </c>
      <c r="E51" s="5" t="s">
        <v>75</v>
      </c>
      <c r="F51" s="6">
        <v>0</v>
      </c>
      <c r="G51" s="7">
        <v>0</v>
      </c>
      <c r="H51" s="6">
        <f t="shared" si="0"/>
        <v>0</v>
      </c>
      <c r="I51" s="8">
        <f t="shared" si="1"/>
        <v>0</v>
      </c>
      <c r="J51" s="9"/>
      <c r="K51" s="10">
        <v>800</v>
      </c>
      <c r="L51" s="11">
        <v>800</v>
      </c>
      <c r="M51" s="10">
        <v>800</v>
      </c>
      <c r="N51" s="11">
        <v>800</v>
      </c>
      <c r="O51" s="10">
        <v>0</v>
      </c>
      <c r="P51" s="11">
        <v>0</v>
      </c>
      <c r="Q51" s="6">
        <f t="shared" si="2"/>
        <v>1600</v>
      </c>
      <c r="R51" s="7">
        <f t="shared" si="3"/>
        <v>1600</v>
      </c>
      <c r="S51" s="12">
        <f t="shared" si="4"/>
        <v>0</v>
      </c>
      <c r="T51" s="13"/>
    </row>
    <row r="52" spans="2:20" ht="25" customHeight="1" x14ac:dyDescent="0.35">
      <c r="B52" s="18" t="s">
        <v>103</v>
      </c>
      <c r="C52" s="19"/>
      <c r="D52" s="19"/>
      <c r="E52" s="19"/>
      <c r="F52" s="14">
        <f>SUM(F10:F51)</f>
        <v>17340</v>
      </c>
      <c r="G52" s="14">
        <f>SUM(G10:G51)</f>
        <v>8560</v>
      </c>
      <c r="H52" s="14">
        <f>SUM(H10:H51)</f>
        <v>16380</v>
      </c>
      <c r="I52" s="15">
        <f>IF(F52&gt;0, G52/F52, 1)</f>
        <v>0.49365628604382927</v>
      </c>
      <c r="J52" s="16"/>
      <c r="K52" s="14">
        <f t="shared" ref="K52:S52" si="5">SUM(K10:K51)</f>
        <v>44660</v>
      </c>
      <c r="L52" s="14">
        <f t="shared" si="5"/>
        <v>42840</v>
      </c>
      <c r="M52" s="14">
        <f t="shared" si="5"/>
        <v>56700</v>
      </c>
      <c r="N52" s="14">
        <f t="shared" si="5"/>
        <v>56700</v>
      </c>
      <c r="O52" s="14">
        <f t="shared" si="5"/>
        <v>0</v>
      </c>
      <c r="P52" s="14">
        <f t="shared" si="5"/>
        <v>0</v>
      </c>
      <c r="Q52" s="14">
        <f t="shared" si="5"/>
        <v>101360</v>
      </c>
      <c r="R52" s="14">
        <f t="shared" si="5"/>
        <v>99540</v>
      </c>
      <c r="S52" s="17">
        <f t="shared" si="5"/>
        <v>-1820</v>
      </c>
      <c r="T52" s="16"/>
    </row>
  </sheetData>
  <mergeCells count="20">
    <mergeCell ref="B4:T4"/>
    <mergeCell ref="B6:D6"/>
    <mergeCell ref="F8:J8"/>
    <mergeCell ref="N6:P6"/>
    <mergeCell ref="B52:E52"/>
    <mergeCell ref="Q5:T5"/>
    <mergeCell ref="B2:T2"/>
    <mergeCell ref="B8:E8"/>
    <mergeCell ref="E5:G5"/>
    <mergeCell ref="K5:M5"/>
    <mergeCell ref="Q6:T6"/>
    <mergeCell ref="H6:J6"/>
    <mergeCell ref="B3:T3"/>
    <mergeCell ref="B5:D5"/>
    <mergeCell ref="Q8:T8"/>
    <mergeCell ref="K6:M6"/>
    <mergeCell ref="H5:J5"/>
    <mergeCell ref="N5:P5"/>
    <mergeCell ref="E6:G6"/>
    <mergeCell ref="K8:P8"/>
  </mergeCells>
  <dataValidations count="1">
    <dataValidation type="list" allowBlank="1" errorTitle="Motivo de Desviación" error="Por favor seleccione un motivo de la lista o escriba su comentario" sqref="J10:J43 J10:J127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Previsiones_Pedro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Javier Medina</cp:lastModifiedBy>
  <dcterms:created xsi:type="dcterms:W3CDTF">2026-10-01T12:16:56Z</dcterms:created>
  <dcterms:modified xsi:type="dcterms:W3CDTF">2026-10-02T07:34:02Z</dcterms:modified>
</cp:coreProperties>
</file>